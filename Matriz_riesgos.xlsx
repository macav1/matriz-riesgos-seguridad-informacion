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_Empresa" sheetId="1" r:id="rId4"/>
    <sheet state="visible" name="Gestion_Riesgos" sheetId="2" r:id="rId5"/>
    <sheet state="visible" name="Mapas de Calor" sheetId="3" r:id="rId6"/>
    <sheet state="visible" name="Ejemplo" sheetId="4" r:id="rId7"/>
    <sheet state="visible" name="R_Cobit" sheetId="5" r:id="rId8"/>
    <sheet state="visible" name="A_27005_1" sheetId="6" r:id="rId9"/>
    <sheet state="visible" name="A_27005_2" sheetId="7" r:id="rId10"/>
    <sheet state="visible" name="V_27005" sheetId="8" r:id="rId11"/>
    <sheet state="visible" name="O_Riesgos" sheetId="9" r:id="rId12"/>
    <sheet state="visible" name="O_Activos" sheetId="10" r:id="rId13"/>
  </sheets>
  <definedNames>
    <definedName name="AA11.">Gestion_Riesgos!$AJ$12</definedName>
  </definedNames>
  <calcPr/>
  <extLst>
    <ext uri="GoogleSheetsCustomDataVersion2">
      <go:sheetsCustomData xmlns:go="http://customooxmlschemas.google.com/" r:id="rId14" roundtripDataChecksum="dkvoGUZ9By7k8b6RgfLXV9LUZXKt+QSTP9LDJPHyWO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ID#AAACABJYa3k
Pablo A. Fabres F.    (2026-07-14 23:10:55)
Debe proporcionar la máxima cantidad de información de la empresa.</t>
      </text>
    </comment>
    <comment authorId="0" ref="B8">
      <text>
        <t xml:space="preserve">======
ID#AAACABJYa1g
Pablo A. Fabres F.    (2026-07-14 23:10:55)
Indique un número aproximado de empleados</t>
      </text>
    </comment>
    <comment authorId="0" ref="B7">
      <text>
        <t xml:space="preserve">======
ID#AAACABMO5b4
Pablo A. Fabres F.    (2026-07-14 23:10:55)
Indique a que rubro o sector industrial se dedica esta empresa, pr ejemplo, bancario, salud, agrícola, etc.</t>
      </text>
    </comment>
  </commentList>
  <extLst>
    <ext uri="GoogleSheetsCustomDataVersion2">
      <go:sheetsCustomData xmlns:go="http://customooxmlschemas.google.com/" r:id="rId1" roundtripDataSignature="AMtx7mjEqnaRvCXabgvkrPFwqR7/b0EZV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ID#AAACABJYa3E
Pablo A. Fabres F.    (2026-07-14 23:10:55)
Categorías:
• Baja: Cuando la información es pública y el activo no tiene restricciones de acceso.
• Media: Cuando el activo de información es reservado y el acceso no autorizado (o vulnerado) no tiene consecuencias graves para la institución o terceros.
• Alta: Cuando la información es reservada y el activo de información cuyo acceso no autorizado tiene impacto para la institución o terceros.</t>
      </text>
    </comment>
    <comment authorId="0" ref="F5">
      <text>
        <t xml:space="preserve">======
ID#AAACABMO5cc
Pablo A. Fabres F.    (2026-07-14 23:10:55)
Categorías: 
• Baja: Activo de Información cuya inaccesibilidad, tiene impacto leve para la institución o terceros.
• Media: Activo de Información cuya inaccesibilidad, tiene impacto significativo para la institución o terceros.
• Alta: Activo de Información cuya inaccesibilidad, tiene impacto grave  para la institución o terceros.</t>
      </text>
    </comment>
    <comment authorId="0" ref="G5">
      <text>
        <t xml:space="preserve">======
ID#AAACABJYa0w
Pablo A. Fabres F.    (2026-07-14 23:10:55)
Categorías:
• Baja:  Activo de Información cuya modificación no deseada tiene consecuencias con impacto leve para la institución o terceros.
• Media: Activo de Información cuya modificación  no deseada  tiene consecuencias con impacto significativo  para la institución o terceros.
• Alta:  Activo de Información cuya modificación no deseada  tiene consecuencias con impacto grave  para la institución o terceros.</t>
      </text>
    </comment>
    <comment authorId="0" ref="H5">
      <text>
        <t xml:space="preserve">======
ID#AAACABJYa2U
Pablo A. Fabres F.    (2026-07-14 23:10:55)
Favor apoyarse en la hoja "O_Activos", en la tabla de "Evaluación de Criticidad" para ver el resultado que se debe ingresar en este campo.</t>
      </text>
    </comment>
    <comment authorId="0" ref="I5">
      <text>
        <t xml:space="preserve">======
ID#AAACABMO5b0
Pablo A. Fabres F.    (2026-07-14 23:10:55)
Es un identificador para cada riesgo, puede ser R1 o Riesgo1, con un correlativo que pueda entregar una identificación única.</t>
      </text>
    </comment>
    <comment authorId="0" ref="J5">
      <text>
        <t xml:space="preserve">======
ID#AAACABJYaz0
Pablo A. Fabres F.    (2026-07-14 23:10:55)
Puede apoyarse en los riesgos descritos en la hoja "R_Cobit"</t>
      </text>
    </comment>
    <comment authorId="0" ref="K5">
      <text>
        <t xml:space="preserve">======
ID#AAACABMO5ck
Pablo A. Fabres F.    (2026-07-14 23:10:55)
Debe explayarse respecto a la descripcipon del riesgo que ha seleccionado, para cada registro.</t>
      </text>
    </comment>
    <comment authorId="0" ref="L5">
      <text>
        <t xml:space="preserve">======
ID#AAACABMO5cA
Pablo A. Fabres F.    (2026-07-14 23:10:55)
Puede apoyarse en las amenazas descritas en las hojas "A_27005_1" Y "A_27005_2"</t>
      </text>
    </comment>
    <comment authorId="0" ref="M5">
      <text>
        <t xml:space="preserve">======
ID#AAACABJYa1c
Pablo A. Fabres F.    (2026-07-14 23:10:55)
Puede apoyarse en las amenazas descritas en las hojas "A_27005_1" Y "A_27005_2"</t>
      </text>
    </comment>
    <comment authorId="0" ref="N5">
      <text>
        <t xml:space="preserve">======
ID#AAACABMO5cg
Pablo    (2026-07-14 23:10:55)
La fuente de la amenaza puede corresponder a una o varias de las siguientes:
A (Accidental)
D (Deliverada)
E (Entorno)</t>
      </text>
    </comment>
    <comment authorId="0" ref="O5">
      <text>
        <t xml:space="preserve">======
ID#AAACABJYa1Q
Pablo    (2026-07-14 23:10:55)
Indicar valor de la amenaza dentro de una escala de 1 a 5, siendo 1 la menor probabilidad de ocurrencia, y 5 el máximo valor de ocurrencia.</t>
      </text>
    </comment>
    <comment authorId="0" ref="P5">
      <text>
        <t xml:space="preserve">======
ID#AAACABJYa2Y
Pablo    (2026-07-14 23:10:55)
Se debe clasificar la amenaza según su valor donde:
1 = Bajo
2 = Medio
3 = Medio
4 = Alto
5 = Alto</t>
      </text>
    </comment>
    <comment authorId="0" ref="Q5">
      <text>
        <t xml:space="preserve">======
ID#AAACABJYa3o
Pablo A. Fabres F.    (2026-07-14 23:10:55)
Puede apoyarse en las vulnerabilidades descritas en la hoja "V_27005"</t>
      </text>
    </comment>
    <comment authorId="0" ref="R5">
      <text>
        <t xml:space="preserve">======
ID#AAACABMO5bs
Pablo    (2026-07-14 23:10:55)
Indicar valor de la vulnerabilidad dentro de una escala de 1 a 5, siendo 1 su dificultad de explotación muy difícill, y 5 el su facilidad de explotación muy fácil.</t>
      </text>
    </comment>
    <comment authorId="0" ref="S5">
      <text>
        <t xml:space="preserve">======
ID#AAACABJYa2Q
Pablo    (2026-07-14 23:10:55)
Se debe clasificar la amenaza según si nivel donde:
1 = Bajo
2 = Medio
3 = Medio
4 = Alto
5 = Alto</t>
      </text>
    </comment>
    <comment authorId="0" ref="T5">
      <text>
        <t xml:space="preserve">======
ID#AAACABJYa3U
Pablo    (2026-07-14 23:10:55)
Refiere al valor promedio entre la amenaza y la vulnerabilidad, es decir:
ValorProbabilidad= (ValorAmenaza+ValorVulnerabilidad)/2</t>
      </text>
    </comment>
    <comment authorId="0" ref="U5">
      <text>
        <t xml:space="preserve">======
ID#AAACABJYa04
Pablo    (2026-07-14 23:10:55)
Debe definir por ejemplo:
- Suspensión de operaciones claves generalizada por más de 4 horas
- Perdida de operación en más del 50% de los procesos claves
- Perdida de continuidad operativa en procesos claves o de soporte
- Pérdida de funcinamiento de procesos altamente críticos
- Otro impacto operaciones que considere pertinente indicar.</t>
      </text>
    </comment>
    <comment authorId="0" ref="V5">
      <text>
        <t xml:space="preserve">======
ID#AAACABJYa14
Pablo    (2026-07-14 23:10:55)
Debe definir por ejemplo
- Impacto en ingresos por determinada cantidad de días.
- Pérdidas financieras por montos equivaletes a $xxx.xxx (indicar montos)
- Pérdidas de ventas por x Monto.
- Pérdida de ganancias al años por x monto
- Otro que considere de impacto económico en este punto.</t>
      </text>
    </comment>
    <comment authorId="0" ref="W5">
      <text>
        <t xml:space="preserve">======
ID#AAACABJYa28
Pablo    (2026-07-14 23:10:55)
Para este caso y según los expuesto en las consecuencias definidas, el valor de impacto se debe asignar según critero de la tabla de orientación de valores de impacto, hoja "O_Riesgos" en la tabla "Orientación Valores de Impacto". Debes ingresar un valor numérico</t>
      </text>
    </comment>
    <comment authorId="0" ref="X5">
      <text>
        <t xml:space="preserve">======
ID#AAACABJYa3M
Pablo    (2026-07-14 23:10:55)
Se considera ValorProbabilidad x ValorImpacto.</t>
      </text>
    </comment>
    <comment authorId="0" ref="Y5">
      <text>
        <t xml:space="preserve">======
ID#AAACABMO5bk
Pablo    (2026-07-14 23:10:55)
El nivel de la sevaridad viene definido en la hoja "O_Riesgos" en la tabla "Factores de Severidad", según valor de severidad.</t>
      </text>
    </comment>
    <comment authorId="0" ref="Z5">
      <text>
        <t xml:space="preserve">======
ID#AAACABJYa08
Pablo    (2026-07-14 23:10:55)
Se debe clasificar la opción de tratamiento respecto a:
Reducir
Retener
Evitar
Compartir</t>
      </text>
    </comment>
    <comment authorId="0" ref="AA5">
      <text>
        <t xml:space="preserve">======
ID#AAACABJYazk
Pablo    (2026-07-14 23:10:55)
Coresponde a una acrtividad para tratar el riesgos, ésta puede ser, uno o varios controles ISO 27001, Cis Controls, PCI DSS, o un proyecto TI que mitige y reduzca el impacto del riesgo.</t>
      </text>
    </comment>
    <comment authorId="0" ref="AB5">
      <text>
        <t xml:space="preserve">======
ID#AAACABJYa1w
Pablo    (2026-07-14 23:10:55)
Considerar según aplicación del control en el tiempo:
Permanente
Periódico
Ocasional</t>
      </text>
    </comment>
    <comment authorId="0" ref="AC5">
      <text>
        <t xml:space="preserve">======
ID#AAACABMO5b8
Pablo    (2026-07-14 23:10:55)
Considerar:
Automático
SemiAutomático
Manual</t>
      </text>
    </comment>
    <comment authorId="0" ref="AD5">
      <text>
        <t xml:space="preserve">======
ID#AAACABJYa1A
Pablo    (2026-07-14 23:10:55)
Debe considerar según su criterio, de 1 a 100, que % de efectividad aplica el control seleccionado para la mitigación del riesgo (amenaza y probabilidad)</t>
      </text>
    </comment>
    <comment authorId="0" ref="AE5">
      <text>
        <t xml:space="preserve">======
ID#AAACABJYa3g
Pablo    (2026-07-14 23:10:55)
Corresponde al 100% menos el %indicado en la "Efectividad"</t>
      </text>
    </comment>
    <comment authorId="0" ref="AF5">
      <text>
        <t xml:space="preserve">======
ID#AAACABMO5cE
Pablo    (2026-07-14 23:10:55)
Esta medición es según el criterio del evaluador, y se basa en la efectibidad del tratamiento del riesgo y su control, por lo que subjetivamente se debe revisar y ajustar a la tabla de orientación de valores de probabilidad, hoja "O_Riesgos" en la tabla "Orientación Valores de Probabilidad". Debe ingresar el valor entre 1 a 5 que usted estime considerado segun las descripciones de esa tabla.</t>
      </text>
    </comment>
    <comment authorId="0" ref="AG5">
      <text>
        <t xml:space="preserve">======
ID#AAACABJYa2c
Pablo    (2026-07-14 23:10:55)
Esta medición es según el criterio del evaluador, y se basa en la efectibidad del tratamiento del riesgo y su control, por lo que subjetivamente se debe revisar y ajustar a la tabla de orientación de valores de probabilidad, hoja "O_Riesgos" en la tabla "Orientación Valores de Impacto".  Debe ingresar el valor entre 1 a 5 que usted estime considerado segun las descripciones de esa tabla.</t>
      </text>
    </comment>
    <comment authorId="0" ref="AH5">
      <text>
        <t xml:space="preserve">======
ID#AAACABJYa3Q
Pablo    (2026-07-14 23:10:55)
Corresponde a la probabilidad x impacto con el plan de tratamiento evaluado.</t>
      </text>
    </comment>
    <comment authorId="0" ref="AI5">
      <text>
        <t xml:space="preserve">======
ID#AAACABJYa0g
Pablo    (2026-07-14 23:10:55)
Se debe considerar la escala definida en la hoja "O_Riesgos" en la tabla "Factores de Severidad" en los campos de "Severidad" columna Nivel"l, por ejemplo pata "3. Moderado 5.Catastrófico", sería "Extremo"</t>
      </text>
    </comment>
    <comment authorId="0" ref="AJ5">
      <text>
        <t xml:space="preserve">======
ID#AAACABJYa2w
Pablo    (2026-07-14 23:10:55)
Indique cualquier observación al respecto como por ejemplo, aplicabilidad del control sujeto a presupuesto, o debe aplicarse con un proyecto TI, o aplicación de políticas y Procedimientos, etc. Expláyese en este punto para fundamentar su respuesta completamente.</t>
      </text>
    </comment>
    <comment authorId="0" ref="A5">
      <text>
        <t xml:space="preserve">======
ID#AAACABMO5bg
Pablo A. Fabres F.    (2026-07-14 23:10:55)
Indicar el nombre del activo señalando en lo posible al proceso que se vincula o unidad.</t>
      </text>
    </comment>
    <comment authorId="0" ref="B5">
      <text>
        <t xml:space="preserve">======
ID#AAACABJYazs
Pablo A. Fabres F.    (2026-07-14 23:10:55)
Debe explayarse respecto a la descripcipon del activo que ha seleccionado, para cada registro.</t>
      </text>
    </comment>
    <comment authorId="0" ref="C5">
      <text>
        <t xml:space="preserve">======
ID#AAACABJYa10
Pablo A. Fabres F.    (2026-07-14 23:10:55)
Se debe clasificar el activo en tipos, es decir todos los subactivos que conforman el sistema que seleccionaron, para ello favor usar el apartado correpondiente en la hoja "O_Activos".</t>
      </text>
    </comment>
    <comment authorId="0" ref="D5">
      <text>
        <t xml:space="preserve">======
ID#AAACABJYa1k
Pablo A. Fabres F.    (2026-07-14 23:10:55)
Se debe clasificar el activo en sub tipos, para ello favor usar el apartado correpondiente en la hoja "O_Activos".</t>
      </text>
    </comment>
  </commentList>
  <extLst>
    <ext uri="GoogleSheetsCustomDataVersion2">
      <go:sheetsCustomData xmlns:go="http://customooxmlschemas.google.com/" r:id="rId1" roundtripDataSignature="AMtx7mhVODwhG4zihR07R+3f4tXJn4zAu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ID#AAACABJYa0I
Pablo A. Fabres F.    (2026-07-14 23:10:55)
Categorías:
• Baja: Cuando la información es pública y el activo no tiene restricciones de acceso.
• Media: Cuando el activo de información es reservado y el acceso no autorizado (o vulnerado) no tiene consecuencias graves para la institución o terceros.
• Alta: Cuando la información es reservada y el activo de información cuyo acceso no autorizado tiene impacto para la institución o terceros.</t>
      </text>
    </comment>
    <comment authorId="0" ref="F5">
      <text>
        <t xml:space="preserve">======
ID#AAACABJYa20
Pablo A. Fabres F.    (2026-07-14 23:10:55)
Categorías: 
• Baja: Activo de Información cuya inaccesibilidad, tiene impacto leve para la institución o terceros.
• Media: Activo de Información cuya inaccesibilidad, tiene impacto significativo para la institución o terceros.
• Alta: Activo de Información cuya inaccesibilidad, tiene impacto grave  para la institución o terceros.</t>
      </text>
    </comment>
    <comment authorId="0" ref="G5">
      <text>
        <t xml:space="preserve">======
ID#AAACABJYaz4
Pablo A. Fabres F.    (2026-07-14 23:10:55)
Categorías:
• Baja:  Activo de Información cuya modificación no deseada tiene consecuencias con impacto leve para la institución o terceros.
• Media: Activo de Información cuya modificación  no deseada  tiene consecuencias con impacto significativo  para la institución o terceros.
• Alta:  Activo de Información cuya modificación no deseada  tiene consecuencias con impacto grave  para la institución o terceros.</t>
      </text>
    </comment>
    <comment authorId="0" ref="H5">
      <text>
        <t xml:space="preserve">======
ID#AAACABJYa24
Pablo A. Fabres F.    (2026-07-14 23:10:55)
Favor apoyarse en la hoja "O_Activos", en la tabla de "Evaluación de Criticidad" para ver el resultado que se debe ingresar en este campo.</t>
      </text>
    </comment>
    <comment authorId="0" ref="J5">
      <text>
        <t xml:space="preserve">======
ID#AAACABJYa18
Pablo A. Fabres F.    (2026-07-14 23:10:55)
Puede apoyarse en los riesgos descritos en la hoja "R_Cobit"</t>
      </text>
    </comment>
    <comment authorId="0" ref="K5">
      <text>
        <t xml:space="preserve">======
ID#AAACABJYa1I
Pablo A. Fabres F.    (2026-07-14 23:10:55)
Debe explayarse respecto a la descripcipon del riesgo que ha seleccionado, para cada registro.</t>
      </text>
    </comment>
    <comment authorId="0" ref="L5">
      <text>
        <t xml:space="preserve">======
ID#AAACABJYa2g
Pablo A. Fabres F.    (2026-07-14 23:10:55)
Puede apoyarse en las amenazas descritas en las hojas "A_27005_1" Y "A_27005_2"</t>
      </text>
    </comment>
    <comment authorId="0" ref="M5">
      <text>
        <t xml:space="preserve">======
ID#AAACABJYa3I
Pablo A. Fabres F.    (2026-07-14 23:10:55)
Puede apoyarse en las amenazas descritas en las hojas "A_27005_1" Y "A_27005_2"</t>
      </text>
    </comment>
    <comment authorId="0" ref="N5">
      <text>
        <t xml:space="preserve">======
ID#AAACABJYa1M
Pablo    (2026-07-14 23:10:55)
La fuente de la amenaza puede corresponder a una o varias de las siguientes:
A (Accidental)
D (Deliverada)
E (Entorno)</t>
      </text>
    </comment>
    <comment authorId="0" ref="O5">
      <text>
        <t xml:space="preserve">======
ID#AAACABJYa0U
Pablo    (2026-07-14 23:10:55)
Indicar valor de la amenaza dentro de una escala de 1 a 5, siendo 1 la menor probabilidad de ocurrencia, y 5 el máximo valor de ocurrencia.</t>
      </text>
    </comment>
    <comment authorId="0" ref="P5">
      <text>
        <t xml:space="preserve">======
ID#AAACABMO5bY
Pablo    (2026-07-14 23:10:55)
Se debe clasificar la amenaza según su valor donde:
1 = Bajo
2 = Medio
3 = Medio
4 = Alto
5 = Alto</t>
      </text>
    </comment>
    <comment authorId="0" ref="Q5">
      <text>
        <t xml:space="preserve">======
ID#AAACABJYa1s
Pablo A. Fabres F.    (2026-07-14 23:10:55)
Puede apoyarse en las vulnerabilidades descritas en la hoja "V_27005"</t>
      </text>
    </comment>
    <comment authorId="0" ref="R5">
      <text>
        <t xml:space="preserve">======
ID#AAACABJYazo
Pablo    (2026-07-14 23:10:55)
Indicar valor de la vulnerabilidad dentro de una escala de 1 a 5, siendo 1 su dificultad de explotación muy difícill, y 5 el su facilidad de explotación muy fácil.</t>
      </text>
    </comment>
    <comment authorId="0" ref="S5">
      <text>
        <t xml:space="preserve">======
ID#AAACABMO5bw
Pablo    (2026-07-14 23:10:55)
Se debe clasificar la amenaza según si nivel donde:
1 = Bajo
2 = Medio
3 = Medio
4 = Alto
5 = Alto</t>
      </text>
    </comment>
    <comment authorId="0" ref="T5">
      <text>
        <t xml:space="preserve">======
ID#AAACABJYa1U
Pablo    (2026-07-14 23:10:55)
Refiere al valor promedio entre la amenaza y la vulnerabilidad, es decir:
ValorProbabilidad= (ValorAmenaza+ValorVulnerabilidad)/2</t>
      </text>
    </comment>
    <comment authorId="0" ref="U5">
      <text>
        <t xml:space="preserve">======
ID#AAACABJYa0o
Pablo    (2026-07-14 23:10:55)
Debe definir por ejemplo:
- Suspensión de operaciones claves generalizada por más de 4 horas
- Perdida de operación en más del 50% de los procesos claves
- Perdida de continuidad operativa en procesos claves o de soporte
- Pérdida de funcinamiento de procesos altamente críticos
- Otro impacto operaciones que considere pertinente indicar.</t>
      </text>
    </comment>
    <comment authorId="0" ref="V5">
      <text>
        <t xml:space="preserve">======
ID#AAACABJYa1E
Pablo    (2026-07-14 23:10:55)
Debe definir por ejemplo
- Impacto en ingresos por determinada cantidad de días.
- Pérdidas financieras por montos equivaletes a $xxx.xxx (indicar montos)
- Pérdidas de ventas por x Monto.
- Pérdida de ganancias al años por x monto
- Otro que considere de impacto económico en este punto.</t>
      </text>
    </comment>
    <comment authorId="0" ref="W5">
      <text>
        <t xml:space="preserve">======
ID#AAACABMO5cQ
Pablo    (2026-07-14 23:10:55)
Para este caso y según los expuesto en las consecuencias definidas, el valor de impacto se debe asignar según critero de la tabla de orientación de valores de impacto, hoja "O_Riesgos" en la tabla "Orientación Valores de Impacto". Debes ingresar un valor numérico</t>
      </text>
    </comment>
    <comment authorId="0" ref="X5">
      <text>
        <t xml:space="preserve">======
ID#AAACABJYa3A
Pablo    (2026-07-14 23:10:55)
Se considera ValorProbabilidad x ValorImpacto.</t>
      </text>
    </comment>
    <comment authorId="0" ref="Y5">
      <text>
        <t xml:space="preserve">======
ID#AAACABMO5bo
Pablo    (2026-07-14 23:10:55)
El nivel de la sevaridad viene definido en la hoja "O_Riesgos" en la tabla "Factores de Severidad", según valor de severidad.</t>
      </text>
    </comment>
    <comment authorId="0" ref="Z5">
      <text>
        <t xml:space="preserve">======
ID#AAACABJYa00
Pablo    (2026-07-14 23:10:55)
Se debe clasificar la opción de tratamiento respecto a:
Reducir
Retener
Evitar
Compartir</t>
      </text>
    </comment>
    <comment authorId="0" ref="AA5">
      <text>
        <t xml:space="preserve">======
ID#AAACABJYa0Q
Pablo    (2026-07-14 23:10:55)
Coresponde a una acrtividad para tratar el riesgos, ésta puede ser, uno o varios controles ISO 27001, Cis Controls, PCI DSS, o un proyecto TI que mitige y reduzca el impacto del riesgo.</t>
      </text>
    </comment>
    <comment authorId="0" ref="AB5">
      <text>
        <t xml:space="preserve">======
ID#AAACABJYa2k
Pablo    (2026-07-14 23:10:55)
Considerar según aplicación del control en el tiempo:
Permanente
Periódico
Ocasional</t>
      </text>
    </comment>
    <comment authorId="0" ref="AC5">
      <text>
        <t xml:space="preserve">======
ID#AAACABJYa3s
Pablo    (2026-07-14 23:10:55)
Considerar:
Automático
SemiAutomático
Manual</t>
      </text>
    </comment>
    <comment authorId="0" ref="AD5">
      <text>
        <t xml:space="preserve">======
ID#AAACABJYa1Y
Pablo    (2026-07-14 23:10:55)
Debe considerar según su criterio, de 1 a 100, que % de efectividad aplica el control seleccionado para la mitigación del riesgo (amenaza y probabilidad)</t>
      </text>
    </comment>
    <comment authorId="0" ref="AE5">
      <text>
        <t xml:space="preserve">======
ID#AAACABJYa2I
Pablo    (2026-07-14 23:10:55)
Corresponde al 100% menos el %indicado en la "Efectividad"</t>
      </text>
    </comment>
    <comment authorId="0" ref="AF5">
      <text>
        <t xml:space="preserve">======
ID#AAACABMO5cI
Pablo    (2026-07-14 23:10:55)
Esta medición es según el criterio del evaluador, y se basa en la efectibidad del tratamiento del riesgo y su control, por lo que subjetivamente se debe revisar y ajustar a la tabla de orientación de valores de probabilidad, hoja "O_Riesgos" en la tabla "Orientación Valores de Probabilidad". Debe ingresar el valor entre 1 a 5 que usted estime considerado segun las descripciones de esa tabla.</t>
      </text>
    </comment>
    <comment authorId="0" ref="AG5">
      <text>
        <t xml:space="preserve">======
ID#AAACABJYaz8
Pablo    (2026-07-14 23:10:55)
Esta medición es según el criterio del evaluador, y se basa en la efectibidad del tratamiento del riesgo y su control, por lo que subjetivamente se debe revisar y ajustar a la tabla de orientación de valores de probabilidad, hoja "O_Riesgos" en la tabla "Orientación Valores de Impacto".  Debe ingresar el valor entre 1 a 5 que usted estime considerado segun las descripciones de esa tabla.</t>
      </text>
    </comment>
    <comment authorId="0" ref="AH5">
      <text>
        <t xml:space="preserve">======
ID#AAACABJYa0c
Pablo    (2026-07-14 23:10:55)
Corresponde a la probabilidad x impacto con el plan de tratamiento evaluado.</t>
      </text>
    </comment>
    <comment authorId="0" ref="AI5">
      <text>
        <t xml:space="preserve">======
ID#AAACABJYa3Y
Pablo    (2026-07-14 23:10:55)
Se debe considerar la escala definida en la hoja "O_Riesgos" en la tabla "Factores de Severidad" en los campos de "Severidad" columna Nivel"l, por ejemplo pata "3. Moderado 5.Catastrófico", sería "Extremo"</t>
      </text>
    </comment>
    <comment authorId="0" ref="E6">
      <text>
        <t xml:space="preserve">======
ID#AAACABJYa3c
Pablo A. Fabres F.    (2026-07-14 23:10:55)
Es alta por que la página contienen listas de precios e información de identificación de clientes y proveedores, siendo sus datos sensibles.</t>
      </text>
    </comment>
    <comment authorId="0" ref="AJ5">
      <text>
        <t xml:space="preserve">======
ID#AAACABJYa0M
Pablo    (2026-07-14 23:10:55)
Indique cualquier observación al respecto como por ejemplo, aplicabilidad del control sujeto a presupuesto, o debe aplicarse con un proyecto TI, o aplicación de políticas y Procedimientos, etc. Expláyese en este punto para fundamentar su respuesta completamente.</t>
      </text>
    </comment>
    <comment authorId="0" ref="F6">
      <text>
        <t xml:space="preserve">======
ID#AAACABJYa1o
Pablo A. Fabres F.    (2026-07-14 23:10:55)
Es alta, por que se esta publicacion web y su disponibilidad, dependen las ventas de la empresa.</t>
      </text>
    </comment>
    <comment authorId="0" ref="G6">
      <text>
        <t xml:space="preserve">======
ID#AAACABJYa0s
Pablo A. Fabres F.    (2026-07-14 23:10:55)
es alta por que la información que reside debe ser íntegra, toda vez que los datos son asociados a listas de precios, valores, e información de despachos de productos</t>
      </text>
    </comment>
    <comment authorId="0" ref="H6">
      <text>
        <t xml:space="preserve">======
ID#AAACABJYa0Y
Pablo A. Fabres F.    (2026-07-14 23:10:55)
ALTA según eveluación de la tabla de la hoja "O_Activos"</t>
      </text>
    </comment>
    <comment authorId="0" ref="N6">
      <text>
        <t xml:space="preserve">======
ID#AAACABMO5bc
Pablo A. Fabres F.    (2026-07-14 23:10:55)
Es deliverada por que corresponde a unpotencial ataque de grupos hacktivistas</t>
      </text>
    </comment>
    <comment authorId="0" ref="O6">
      <text>
        <t xml:space="preserve">======
ID#AAACABJYa2M
Pablo A. Fabres F.    (2026-07-14 23:10:55)
Elevamos la amenaza a 4 dado que un tipo de amenaza muy común en la actualidad.</t>
      </text>
    </comment>
    <comment authorId="0" ref="R6">
      <text>
        <t xml:space="preserve">======
ID#AAACABMO5cU
Pablo A. Fabres F.    (2026-07-14 23:10:55)
Dado los tiempos de desactulizacion de los servicio indicados el nivel de la vulnerabilidad es extremadamente alta</t>
      </text>
    </comment>
    <comment authorId="0" ref="W6">
      <text>
        <t xml:space="preserve">======
ID#AAACABJYa0A
Pablo A. Fabres F.    (2026-07-14 23:10:55)
Considerando las consecuencias, el impacto es establecido en el máximo nivel</t>
      </text>
    </comment>
    <comment authorId="0" ref="Z6">
      <text>
        <t xml:space="preserve">======
ID#AAACABJYa2o
Pablo A. Fabres F.    (2026-07-14 23:10:55)
Dadas las actividades de trataimiento, se intentará la reducción de la materialización de este riesgo</t>
      </text>
    </comment>
    <comment authorId="0" ref="AB6">
      <text>
        <t xml:space="preserve">======
ID#AAACABMO5cM
Pablo A. Fabres F.    (2026-07-14 23:10:55)
Dada que la aplicación de parches de actualizacion es una actividad contra demanda, es necesario establecer una periodicidad en su aplicación (cada 3 meses por ejemplo)</t>
      </text>
    </comment>
    <comment authorId="0" ref="AC6">
      <text>
        <t xml:space="preserve">======
ID#AAACABJYa2E
Pablo A. Fabres F.    (2026-07-14 23:10:55)
Considerando que las actividades de parchado pueden ser automáticas o manuales, se opta por esta opción híbrida.</t>
      </text>
    </comment>
    <comment authorId="0" ref="AF6">
      <text>
        <t xml:space="preserve">======
ID#AAACABJYa0E
Pablo A. Fabres F.    (2026-07-14 23:10:55)
Dada la aplicabilidad de políticas, procedimiento y proyectos TI, la probabilidad de ocurrencia en reducida al mínimo.</t>
      </text>
    </comment>
    <comment authorId="0" ref="AG6">
      <text>
        <t xml:space="preserve">======
ID#AAACABJYa2s
Pablo A. Fabres F.    (2026-07-14 23:10:55)
Si bien la probabilidad de ocurrencia es mínima, el impacto no deja de ser significativo, dada la importancia del portal web para la organización.</t>
      </text>
    </comment>
    <comment authorId="0" ref="A5">
      <text>
        <t xml:space="preserve">======
ID#AAACABJYazw
Pablo A. Fabres F.    (2026-07-14 23:10:55)
Indicar el nombre del activo señalando en lo posible al proceso que se vincula o unidad.</t>
      </text>
    </comment>
    <comment authorId="0" ref="B5">
      <text>
        <t xml:space="preserve">======
ID#AAACABJYa0k
Pablo A. Fabres F.    (2026-07-14 23:10:55)
Debe explayarse respecto a la descripcipon del activo que ha seleccionado, para cada registro.</t>
      </text>
    </comment>
    <comment authorId="0" ref="C5">
      <text>
        <t xml:space="preserve">======
ID#AAACABMO5cY
Pablo A. Fabres F.    (2026-07-14 23:10:55)
Se debe clasificar el activo en tipos, es decir todos los subactivos que conforman el sistema que seleccionaron, para ello favor usar el apartado correpondiente en la hoja "O_Activos".</t>
      </text>
    </comment>
    <comment authorId="0" ref="D5">
      <text>
        <t xml:space="preserve">======
ID#AAACABJYa2A
Pablo A. Fabres F.    (2026-07-14 23:10:55)
Se debe clasificar el activo en sub tipos, para ello favor usar el apartado correpondiente en la hoja "O_Activos".</t>
      </text>
    </comment>
  </commentList>
  <extLst>
    <ext uri="GoogleSheetsCustomDataVersion2">
      <go:sheetsCustomData xmlns:go="http://customooxmlschemas.google.com/" r:id="rId1" roundtripDataSignature="AMtx7mgUlm6YOvpdWnimqo4BF0GPRKTItw=="/>
    </ext>
  </extLst>
</comments>
</file>

<file path=xl/sharedStrings.xml><?xml version="1.0" encoding="utf-8"?>
<sst xmlns="http://schemas.openxmlformats.org/spreadsheetml/2006/main" count="1190" uniqueCount="684">
  <si>
    <t>Gestión de Riesgos</t>
  </si>
  <si>
    <t>Evaluación N°3: Evaluación de Vulnerabilidades y Matriz de Riesgo (35%)</t>
  </si>
  <si>
    <t>ACTIVO</t>
  </si>
  <si>
    <t>Docente</t>
  </si>
  <si>
    <t>Pablo A. Fabres F.</t>
  </si>
  <si>
    <t>Asignatura</t>
  </si>
  <si>
    <t>Fundamentos de Seguridad de la Información (TI3V34)</t>
  </si>
  <si>
    <t>Ficha de identificación de la empresa</t>
  </si>
  <si>
    <t>Clasificación del Riesgo "antes" del Plan de Tratamiento</t>
  </si>
  <si>
    <t>RIESGO</t>
  </si>
  <si>
    <t>ANÁLISIS DE RIESGOS</t>
  </si>
  <si>
    <t>EVALUACIÓN DEL RIESGO</t>
  </si>
  <si>
    <t>TRATAMIENTO DEL RIESGO</t>
  </si>
  <si>
    <t>IDENTIFICACION DEL ACTIVO</t>
  </si>
  <si>
    <t>ANALISIS DE CRITICIDAD</t>
  </si>
  <si>
    <t>IDENTIFICACIÓN DEL RIESGO</t>
  </si>
  <si>
    <t>AMENAZA</t>
  </si>
  <si>
    <t>Nombre de la Empresa</t>
  </si>
  <si>
    <t>VULNERABILIDAD</t>
  </si>
  <si>
    <t>Clasificación del Riesgo "después" del Plan de Tratamiento</t>
  </si>
  <si>
    <t>PROBABILIDAD</t>
  </si>
  <si>
    <t>Marley Coffee Chile</t>
  </si>
  <si>
    <t>MAPA DE CALOR RIESGO INHERENTE</t>
  </si>
  <si>
    <t>CONSECUENCIAS</t>
  </si>
  <si>
    <t>Rubro de la empresa</t>
  </si>
  <si>
    <t>IMPACTO</t>
  </si>
  <si>
    <t>RIESGO INHERENTE</t>
  </si>
  <si>
    <t>PLAN TRATAMIENTO</t>
  </si>
  <si>
    <t>EFECTIVIDAD DE LAS ACTIVIDADES</t>
  </si>
  <si>
    <t>Venta y distribución de café premium y productos relacionados</t>
  </si>
  <si>
    <t>MAPA DE CALOR RIESGO RESIDUAL</t>
  </si>
  <si>
    <t>EVALUACIÓN RIESGO RESIDUAL</t>
  </si>
  <si>
    <t>Cantidad de empleados</t>
  </si>
  <si>
    <t>Año de fundación</t>
  </si>
  <si>
    <t>Nombre del Activo</t>
  </si>
  <si>
    <t>Descripción del Activo</t>
  </si>
  <si>
    <t>Tipo</t>
  </si>
  <si>
    <t>RIESGO EVALUADO SEGÚN SEVERIDAD</t>
  </si>
  <si>
    <t>Sub Tipo</t>
  </si>
  <si>
    <t>Confidencialidad</t>
  </si>
  <si>
    <t>Disponibilidad</t>
  </si>
  <si>
    <t>Integridad</t>
  </si>
  <si>
    <t>Criticidad</t>
  </si>
  <si>
    <t>ID Riesgo</t>
  </si>
  <si>
    <t>Nombre del Riesgo</t>
  </si>
  <si>
    <t>Descripción de Riesgo</t>
  </si>
  <si>
    <t>Tipo Amenaza</t>
  </si>
  <si>
    <t>Amenaza                                (Descripción)</t>
  </si>
  <si>
    <t>Fuente Amenaza</t>
  </si>
  <si>
    <t>Valor Amenaza</t>
  </si>
  <si>
    <t>Nivel Amenaza</t>
  </si>
  <si>
    <t>Vulnerabilidad            (Descripción)</t>
  </si>
  <si>
    <t>Valor Vulnerabilidad</t>
  </si>
  <si>
    <t>Nivel Vulnerabilidad</t>
  </si>
  <si>
    <t>Valor Probabilidad</t>
  </si>
  <si>
    <t>Vulnerabilidad (Descripción)</t>
  </si>
  <si>
    <t>Descripción de la empresa</t>
  </si>
  <si>
    <t>Impacto Operacional</t>
  </si>
  <si>
    <t>Marley Coffee Chile es una empresa del rubro de alimentos y bebidas dedicada a la importación, tostado, comercialización y distribución de café premium, inspirada en el legado de Bob Marley y fundada por su hijo, Rohan Marley. En Chile, la empresa es representada por Comercial Dicalla S.A. y tiene su casa matriz en Recoleta, Santiago. Además de café en grano, molido, instantáneo y en cápsulas, ofrece té e infusiones, bebidas listas para consumir (Ready to Drink), barras energéticas, accesorios y soluciones de café para oficinas, empresas y cafeterías. La empresa comercializa sus productos mediante su tienda en línea, supermercados, grandes cadenas de retail, cafeterías, hoteles, restaurantes y el canal corporativo, permitiéndole tener presencia a nivel nacional.
Marley Coffee Chile cuenta con aproximadamente 160 colaboradores y desarrolla sus operaciones apoyándose en diversos sistemas tecnológicos que permiten gestionar sus procesos comerciales, logísticos y administrativos. Entre ellos destacan plataformas de comercio electrónico, sistemas de gestión de inventario, facturación electrónica, administración de clientes (CRM), control de proveedores, distribución de productos y procesamiento de pagos electrónicos. La empresa también ofrece servicios de máquinas de café para oficinas y empresas, lo que implica una coordinación constante entre las áreas de ventas, logística, soporte técnico y atención al cliente.</t>
  </si>
  <si>
    <t>Impacto Económico</t>
  </si>
  <si>
    <t>Marley Coffee Chile es una empresa del rubro de alimentos y bebidas dedicada a la importación, tostado, comercialización y distribución de café premium, inspirada en el legado de Bob Marley y fundada por su hijo, Rohan Marley. En Chile, la empresa es representada por Comercial Dicalla S.A. y tiene su casa matriz en Recoleta, Santiago. Además de café en grano, molido, instantáneo y en cápsulas, ofrece té e infusiones, bebidas listas para consumir (Ready to Drink), barras energéticas, accesorios y soluciones de café para oficinas, empresas y cafeterías. La empresa comercializa sus productos mediante su tienda en línea, supermercados, grandes cadenas de retail, cafeterías, hoteles, restaurantes y el canal corporativo, permitiéndole tener presencia a nivel nacional.
Marley Coffee Chile cuenta con aproximadamente 160 colaboradores y desarrolla sus operaciones apoyándose en diversos sistemas tecnológicos que permiten gestionar sus procesos comerciales, logísticos y administrativos. Entre ellos destacan plataformas de comercio electrónico, sistemas de gestión de inventario, facturación electrónica, administración de clientes (CRM), control de proveedores, distribución de productos y procesamiento de pagos electrónicos. La empresa también ofrece servicios de máquinas de café para oficinas y empresas, lo que implica una coordinación constante entre las áreas de ventas, logística, soporte técnico y atención al cliente.</t>
  </si>
  <si>
    <t>Valor Impacto</t>
  </si>
  <si>
    <t>Valor Severidad Riesgo</t>
  </si>
  <si>
    <t>Nivel Severidad</t>
  </si>
  <si>
    <t>Opción Tratamiento</t>
  </si>
  <si>
    <t>Actividad de Tratamiento</t>
  </si>
  <si>
    <t>Periodicidad</t>
  </si>
  <si>
    <t>Automatización</t>
  </si>
  <si>
    <t>Efectividad</t>
  </si>
  <si>
    <t>Nivel Exposición al Riesgo</t>
  </si>
  <si>
    <t>Probabilidad</t>
  </si>
  <si>
    <t>Impacto</t>
  </si>
  <si>
    <t>Valor Riesgo Residual</t>
  </si>
  <si>
    <t>Riesgo Residual</t>
  </si>
  <si>
    <t>Observaciones</t>
  </si>
  <si>
    <t>MUY IMPROBABLE 1</t>
  </si>
  <si>
    <t>Servidor Web</t>
  </si>
  <si>
    <t xml:space="preserve">Plataforma ERP POS </t>
  </si>
  <si>
    <t>El servidor web continene el portal de la organización, en donde se centralizan todas las operaciones de venta de productos, ordenes de compra y seguimiento de despachos. El portal cumple funciones de un E-Commerce donde la organización etsablece toda su actividad (100% de operaciones)</t>
  </si>
  <si>
    <t>IMPROBABLE
2</t>
  </si>
  <si>
    <t>MODERADA
3</t>
  </si>
  <si>
    <t>PROBABLE
4</t>
  </si>
  <si>
    <t>CASI CERTEZA
5</t>
  </si>
  <si>
    <t>Aplicación web desarrollada para gestionar ventas, compras, inventario, caja, usuarios, clientes, productos y reportes comerciales de empresas del rubro ventas.</t>
  </si>
  <si>
    <t>Software</t>
  </si>
  <si>
    <t>Servicio</t>
  </si>
  <si>
    <t>Web</t>
  </si>
  <si>
    <t>ALTA</t>
  </si>
  <si>
    <t>R1</t>
  </si>
  <si>
    <t>Caída del portal web (no disponibilidad)</t>
  </si>
  <si>
    <t>desarrollo propio</t>
  </si>
  <si>
    <t>alta</t>
  </si>
  <si>
    <t>inyeccion sql en la plataforma erp/pos</t>
  </si>
  <si>
    <t>Un atacante podría insertar código SQL malicioso en formularios o campos del sistema ERP POS Marley Coffee, logrando consultar, modificar o eliminar información relacionada con ventas, clientes, productos, usuarios o reportes comerciales.</t>
  </si>
  <si>
    <t>Refiere a la caída del portal web, donde no existe vía de acceso al portal por niguna via (ni desde internet ni desde la red de ára local), se víncula a caídas del servicio web directamente del servidor donde el servicio se encuentra montado. Lo anterior se plantea dado que el servidor no cuenta con los ultimos parche sde seguridad instalados.</t>
  </si>
  <si>
    <t>accion no autorizada</t>
  </si>
  <si>
    <t>Compromiso de la información</t>
  </si>
  <si>
    <t>procesamiento ilegal de los datos</t>
  </si>
  <si>
    <t>D</t>
  </si>
  <si>
    <t>Ateración de software (configuración)</t>
  </si>
  <si>
    <t>alto</t>
  </si>
  <si>
    <t>Falencias conocidas en el software, asociadas a falta de validación de entradas, ausencia de consultas parametrizadas y controles insuficientes en formularios de la aplicación web.</t>
  </si>
  <si>
    <t>ALTO</t>
  </si>
  <si>
    <t>Servicio web sin la aplicabilidad de los ultimos parches de seguridad respecto al sistema operativo, servicio web (Nginx) y entorno de programaciópn PHP.</t>
  </si>
  <si>
    <t>- Suspención de todas las operaciones
- Afectación de atencion de clientes y proveedores
- Impacto reputacional considerable</t>
  </si>
  <si>
    <t>- Perdidas totales por ventas.
- Disminución de rentabilidades de acciones de la organización.
- Perdidas de ganancias anuales</t>
  </si>
  <si>
    <t>Extremo</t>
  </si>
  <si>
    <t>Reducir</t>
  </si>
  <si>
    <t>Generar un politica, procedimientos y proyectos TI, que pueda abordar las actividades de actualizacipoin y parchado de sistemas considerando:
- Declarar la intencionalidad de la organizacion para encargarse de las actualizaciones de todos los sistenas en produccipon (Política basado en ISO 27001:2022 Control 8.8 referido a la seguridad de redes).
- La vigilancia en la actualización de parches según la tecnología instalada (Procedimiento  basado en CIS Control Control 7).
- Definir actividades de aplicabilidad de parches y observación de funciones y continuidad operacional (procedimiento basado en CIS Control Control 7).
- El monitoreo de la plataforma web por posibles instruisuones no autorizadas (Proyecto TI).
- Contratar un proveedor de seguridad de red que pueda robustecer los accesos al portal por medio de firewalls o  WAFs (Proyecto TI).</t>
  </si>
  <si>
    <t>Alteración, eliminación o exposición de información crítica del sistema, afectando ventas, inventario, caja, usuarios, clientes y reportes. También podría generar interrupción parcial del servicio y pérdida de continuidad operativa para los clientes de Marley coffee.</t>
  </si>
  <si>
    <t>Periódica</t>
  </si>
  <si>
    <t>Semi Automático</t>
  </si>
  <si>
    <t>Perdidas económicas por errores en ventas, pérdida de confianza de clientes, costos de recuperación del sistema, soporte técnico adicional y posible daño reputacional para la empresa.</t>
  </si>
  <si>
    <t>EXTREMO</t>
  </si>
  <si>
    <t>reducir</t>
  </si>
  <si>
    <t>Generar una política, procedimientos y proyectos TI para reducir el riesgo de inyección SQL en la plataforma ERP POS , considerando:
- Declarar una política de desarrollo seguro para todos los módulos del ERP POS, basada en ISO/IEC 27001:2022 control A.8.25, referido al ciclo de vida de desarrollo seguro.
- Establecer un procedimiento de codificación segura, considerando ISO/IEC 27001:2022 control A.8.28, para aplicar validación de entradas, consultas parametrizadas y manejo seguro de errores.
- Realizar revisión de código y pruebas de seguridad antes de cada actualización del sistema, considerando CIS Control 16, referido a seguridad del software de aplicación.
- Ejecutar pruebas de vulnerabilidades sobre formularios, autenticación y consultas del sistema, considerando OWASP Top 10 como referencia para aplicaciones web.
- Mantener un procedimiento de gestión de vulnerabilidades y parches, basado en ISO/IEC 27001:2022 control A.8.8 y CIS Control 7.
- Implementar monitoreo de logs y alertas ante consultas anómalas o intentos repetidos de explotación, basado en ISO/IEC 27001:2022 controles A.8.15 y A.8.16.
- Incorporar como proyecto TI un firewall de aplicaciones web WAF para proteger formularios, rutas críticas y accesos públicos del ERP POS.</t>
  </si>
  <si>
    <t>Dada la criticidad del activo, la importancia para la empresa, y los escenaruio actuales a los que se ve expuesto, es altamente recomendable abordar este riesgo, dada la desactulización del sistema y la potencialidad de probabilidades de un ataque.</t>
  </si>
  <si>
    <t>periodica</t>
  </si>
  <si>
    <t>semi automatico</t>
  </si>
  <si>
    <t>Dada la criticidad de la plataforma ERP POS  y su exposición como aplicación web, se recomienda abordar este riesgo mediante controles de desarrollo seguro, pruebas periódicas, gestión de vulnerabilidades, monitoreo y uso de WAF. Aunque la probabilidad disminuye con el tratamiento, el impacto residual sigue siendo alto por la importancia del activo para las operaciones de clientes y de la empresa.</t>
  </si>
  <si>
    <t>Aplicación web desarrollada por Marley coffee para gestionar ventas, compras, inventario, caja, usuarios, clientes, productos y reportes comerciales de empresas del rubro ventas.</t>
  </si>
  <si>
    <t>R2</t>
  </si>
  <si>
    <t>CATASTRÓFICO: 5</t>
  </si>
  <si>
    <t>Perdida o revelacion de datos sensibles desde la plataforma</t>
  </si>
  <si>
    <t>Existe el riesgo de que información sensible de clientes, ventas, usuarios, productos o reportes comerciales sea consultada, extraída, modificada o revelada por accesos no autorizados a la base de datos del ERP POS .</t>
  </si>
  <si>
    <t>compromiso de la informacion</t>
  </si>
  <si>
    <t>Divulgación</t>
  </si>
  <si>
    <t>Asignación errónea de derechos de acceso, falta de revisión periódica de permisos y ausencia de controles suficientes sobre usuarios con acceso a la base de datos.</t>
  </si>
  <si>
    <t>Exposición, pérdida o modificación de datos críticos del sistema, afectando la gestión de clientes, ventas, productos, caja, reportes y usuarios. También puede generar pérdida de confianza en el servicio entregado por NAJU.</t>
  </si>
  <si>
    <t>Pérdidas económicas por recuperación de información, soporte técnico adicional, interrupción del servicio, reclamos de clientes y daño reputacional asociado a la pérdida o revelación de información comercial.</t>
  </si>
  <si>
    <t>R3</t>
  </si>
  <si>
    <t>R1, R2</t>
  </si>
  <si>
    <t>extremo</t>
  </si>
  <si>
    <t>Generar una política, procedimientos y proyectos TI para reducir el riesgo de pérdida o revelación de datos sensibles en la base de datos del ERP POS , considerando:
- Declarar una política de control de acceso a datos, basada en ISO/IEC 27001:2022 control A.5.15, referido al control de acceso.
- Definir un procedimiento de gestión de identidades y permisos para usuarios administradores, desarrolladores y personal de soporte, considerando ISO/IEC 27001:2022 control A.5.16.
- Aplicar el principio de mínimo privilegio y revisión periódica de derechos de acceso, basado en CIS Control 6, referido a la gestión de control de acceso.
- Implementar autenticación multifactor para usuarios con acceso administrativo o acceso directo a la base de datos.
- Establecer registros de auditoría para consultas, modificaciones y accesos a información crítica, considerando ISO/IEC 27001:2022 controles A.8.15 y A.8.16, referidos a registro y monitoreo de actividades.
- Cifrar respaldos y proteger credenciales de conexión a la base de datos, considerando ISO/IEC 27001:2022 control A.8.24, referido al uso de criptografía.
- Implementar como proyecto TI un sistema de monitoreo y alertas ante consultas masivas, accesos fuera de horario o comportamiento anómalo sobre la base de datos.</t>
  </si>
  <si>
    <t>Dada la criticidad de la base de datos y la sensibilidad de la información almacenada, se recomienda abordar este riesgo mediante controles de acceso, revisión de permisos, autenticación multifactor, cifrado, auditoría y monitoreo continuo. Aunque la probabilidad disminuye con el tratamiento, el impacto residual sigue siendo alto debido a la importancia de los datos para la operación de la empresa y sus clientes.</t>
  </si>
  <si>
    <t>software</t>
  </si>
  <si>
    <t>caida del servicio  cloud de erp pos</t>
  </si>
  <si>
    <t>Existe el riesgo de que el servicio cloud donde se aloja el ERP POS  quede fuera de línea por fallas técnicas, saturación, problemas de conectividad o falta de redundancia, afectando el acceso de los clientes a la plataforma.</t>
  </si>
  <si>
    <t>MAYOR: 4</t>
  </si>
  <si>
    <t>falla tecnica</t>
  </si>
  <si>
    <t>Saturación del sistema de información</t>
  </si>
  <si>
    <t>A,D</t>
  </si>
  <si>
    <t xml:space="preserve">Punto único de falla y gestión de red no adecuada en la infraestructura que soporta el servicio cloud del ERP POS </t>
  </si>
  <si>
    <t>Suspensión del acceso al ERP POS , afectando la operación de ventas, caja, inventario, compras, usuarios y reportes. Los clientes no podrían utilizar la plataforma mientras dure la indisponibilidad del servicio.</t>
  </si>
  <si>
    <t>Pérdidas económicas por interrupción del servicio, soporte técnico adicional, compensaciones a clientes, incumplimiento de niveles de servicio y daño reputacional para la empresa.</t>
  </si>
  <si>
    <t>R4, R5, R6</t>
  </si>
  <si>
    <t>Generar una política, procedimientos y proyectos TI para reducir el riesgo de caída del servicio cloud del ERP POS Marley coffe, considerando:
- Declarar una política de continuidad operacional y disponibilidad del servicio, basada en ISO/IEC 27001:2022 control A.5.30, referido a preparación de las TIC para la continuidad del negocio.
- Establecer acuerdos de nivel de servicio SLA con el proveedor cloud, considerando disponibilidad, tiempos de respuesta, soporte técnico, respaldo y recuperación del servicio.
- Implementar redundancia de componentes críticos de infraestructura, considerando ISO/IEC 27001:2022 control A.8.14, referido a redundancia de instalaciones de procesamiento de información.
- Definir un procedimiento de monitoreo permanente de disponibilidad, rendimiento, consumo de recursos y tiempos de respuesta de la plataforma, basado en ISO/IEC 27001:2022 control A.8.16.
- Aplicar gestión de capacidad para evitar saturación del sistema, considerando ISO/IEC 27001:2022 control A.8.6.
- Mantener respaldos periódicos y pruebas de restauración, considerando CIS Control 11, referido a recuperación de datos.
- Implementar como proyecto TI un sistema de monitoreo con alertas automáticas ante caída del servicio, alto consumo de recursos, errores del servidor o indisponibilidad de la aplicación.
- Evaluar un plan de contingencia con proveedor alternativo o ambiente de respaldo para asegurar continuidad en caso de falla mayor del proveedor principal.</t>
  </si>
  <si>
    <t>permanente</t>
  </si>
  <si>
    <t>automatico</t>
  </si>
  <si>
    <t xml:space="preserve">alto </t>
  </si>
  <si>
    <t>Dada la criticidad del servicio cloud para la operación del ERP POS , se recomienda abordar este riesgo mediante monitoreo permanente, redundancia, acuerdos SLA, respaldos, pruebas de restauración y un plan de contingencia. Aunque la probabilidad disminuye con los controles propuestos, el impacto residual sigue siendo alto porque una caída del servicio afectaría directamente la operación de los clientes.</t>
  </si>
  <si>
    <t>R1,R2,R3</t>
  </si>
  <si>
    <t>Base de datos de clientes y ventas</t>
  </si>
  <si>
    <t>Base de datos utilizada por la plataforma ERP POS NAJU para almacenar información de clientes, ventas, compras, productos, inventario, caja, usuarios y reportes comerciales.</t>
  </si>
  <si>
    <t>Datos</t>
  </si>
  <si>
    <t>base de datos</t>
  </si>
  <si>
    <t>R4</t>
  </si>
  <si>
    <t>Intercepción de comunicación hacia la base de datos</t>
  </si>
  <si>
    <t>MODERADO:  3</t>
  </si>
  <si>
    <t>Existe el riesgo de que un atacante intercepte comunicaciones dentro de la red interna de la empresa, capturando credenciales, información técnica o datos transmitidos entre equipos, servicios internos y la plataforma ERP POS.</t>
  </si>
  <si>
    <t>escuchas a escondidas</t>
  </si>
  <si>
    <t>Líneas de comunicación sin protección y tráfico sensible sin protección dentro de la red local de la empresa</t>
  </si>
  <si>
    <t>Captura de credenciales, exposición de información técnica, acceso indebido a servicios internos y posible compromiso de la administración del ERP POS NAJU. También podría afectar la confidencialidad de datos usados en soporte o pruebas.</t>
  </si>
  <si>
    <t>Pérdidas económicas por investigación del incidente, recuperación de accesos, soporte técnico adicional, fortalecimiento de la red y posible daño reputacional frente a clientes.</t>
  </si>
  <si>
    <t>R4,R6</t>
  </si>
  <si>
    <t>MENOR:  2</t>
  </si>
  <si>
    <t>Generar una política, procedimientos y proyectos TI para reducir el riesgo de interceptación de comunicaciones en la red interna de Marley coffee, considerando:
- Declarar una política de seguridad de redes para proteger las comunicaciones internas y externas, basada en ISO/IEC 27001:2022 control A.8.20, referido a seguridad de redes.
- Definir un procedimiento de segmentación de red, separando ambientes administrativos, pruebas, soporte y servicios críticos del ERP POS, considerando CIS Control 12, referido a gestión de infraestructura de red.
- Implementar cifrado en las comunicaciones mediante HTTPS, VPN o protocolos seguros para accesos administrativos y conexión a servicios internos.
- Establecer autenticación segura para equipos y usuarios conectados a la red, considerando ISO/IEC 27001:2022 control A.5.17, referido a información de autenticación.
- Configurar firewall, reglas de acceso y monitoreo de tráfico para detectar conexiones sospechosas o intentos de captura de información.
- Aplicar revisiones periódicas de configuración de routers, switches, puntos de acceso y servicios de red, considerando CIS Control 4, referido a configuración segura de activos y software.
- Implementar como proyecto TI una solución de monitoreo de red que permita detectar tráfico anómalo, intentos de escaneo, conexiones no autorizadas o posibles ataques tipo Man-in-the-Middle.</t>
  </si>
  <si>
    <t>moderado</t>
  </si>
  <si>
    <t>Se recomienda abordar este riesgo mediante segmentación de red, cifrado de comunicaciones, configuración segura de equipos, firewall y monitoreo de tráfico. Con estas medidas disminuye la probabilidad de interceptación, aunque debe mantenerse revisión periódica porque la red interna soporta actividades de administración, soporte y pruebas del ERP POS .</t>
  </si>
  <si>
    <t>Alta</t>
  </si>
  <si>
    <t>R5</t>
  </si>
  <si>
    <t>malware o ransonware que compromete la base de datos</t>
  </si>
  <si>
    <t>Existe el riesgo de que malware o ransomware afecte equipos o servicios con acceso a la base de datos, comprometiendo respaldos, credenciales, disponibilidad o integridad de la información almacenada.</t>
  </si>
  <si>
    <t>Código malicioso</t>
  </si>
  <si>
    <t>Infección de malware</t>
  </si>
  <si>
    <t>Falta de actualización en equipos o servicios con acceso a la base de datos, antivirus desactualizado, descarga de archivos no autorizados y ausencia de controles suficientes para proteger credenciales y respaldos.</t>
  </si>
  <si>
    <t>INSIGNIFICANTE:  1</t>
  </si>
  <si>
    <t xml:space="preserve">Pérdida, bloqueo o alteración de información almacenada en la base de datos, afectando clientes, ventas, productos, caja, usuarios, reportes y continuidad del servicio ERP POS </t>
  </si>
  <si>
    <t>Costos por recuperación de equipos, reinstalación de sistemas, pérdida de productividad, soporte técnico adicional y posible afectación del servicio entregado a clientes.</t>
  </si>
  <si>
    <t>Generar una política, procedimientos y proyectos TI para reducir el riesgo de infección por malware o ransomware enen equipos o servicios con acceso a la base de datos de clientes y ventas, considerando: - Declarar una política de protección contra software malicioso, basada en ISO/IEC 27001:2022 control A.8.7, referido a protección contra malware. - Establecer un procedimiento de actualización de sistemas operativos, navegadores, herramientas de desarrollo y aplicaciones instaladas, considerando ISO/IEC 27001:2022 control A.8.8 y CIS Control 7. - Implementar antivirus o solución EDR en los equipos administrativos y de desarrollo, con análisis programado y alertas automáticas. - Restringir la instalación de software no autorizado, considerando CIS Control 2, referido a inventario y control de activos de software. - Aplicar configuración segura en los computadores, considerando CIS Control 4, referido a configuración segura de activos y software. - Mantener respaldos periódicos de archivos críticos, scripts, documentación y configuraciones, considerando CIS Control 11. - Implementar como proyecto TI una consola centralizada para monitorear estado de antivirus, actualizaciones pendientes, incidentes y alertas de seguridad en estaciones de trabajo.</t>
  </si>
  <si>
    <t>Bajo</t>
  </si>
  <si>
    <t>El riesgo disminuye mediante protección antimalware, actualizaciones, control de software, configuración segura y respaldos. Después del tratamiento, el riesgo residual queda bajo, ya que la probabilidad y el impacto se reducen a un nivel controlado. Se recomienda mantener revisión periódica de los equipos y servicios con acceso a la base de datos.</t>
  </si>
  <si>
    <t>R6</t>
  </si>
  <si>
    <t>¿Como interpreta el mapa de calor del riesgo inherente, de los 6 riesgos evaluados?</t>
  </si>
  <si>
    <t>Phishing o acceso no autorizado a la base de datos</t>
  </si>
  <si>
    <t>Existe el riesgo de que un usuario con privilegios sea engañado mediante phishing y entregue sus credenciales, permitiendo acceso no autorizado a información crítica almacenada en la base de datos.</t>
  </si>
  <si>
    <t>Ingeniería social</t>
  </si>
  <si>
    <t>Suplantación de identidad</t>
  </si>
  <si>
    <t>COBIT 5 Sobre Riesgos</t>
  </si>
  <si>
    <t>¿Como interpreta el mapa de calor del riesgo residual, de los 6 riesgos evaluados?</t>
  </si>
  <si>
    <t>Falta de capacitación en seguridad, baja concientización sobre correos fraudulentos y ausencia de controles suficientes para validar accesos privilegiados a la base de datos.</t>
  </si>
  <si>
    <t>Fundamente su respuesta aquí: En el mapa de calor del riesgo inherente se observa que los seis riesgos evaluados, asociados a dos activos críticos de ERP POS , se concentran en niveles altos y extremos antes de aplicar los tratamientos. Los activos evaluados son la Plataforma ERP POS y la Base de datos de clientes y ventas. R1 y R2 se ubican en probabilidad 5 e impacto 5, por lo que representan los riesgos más críticos. R3 se ubica en probabilidad 4 e impacto 5, mientras que R4, R5 y R6 se ubican en probabilidad 4 e impacto 4. Esto evidencia una alta exposición inicial en confidencialidad, integridad y disponibilidad, por lo que se requiere aplicar controles de mitigación prioritarios.</t>
  </si>
  <si>
    <t>Riesgos</t>
  </si>
  <si>
    <t>Categoría</t>
  </si>
  <si>
    <t>Acceso indebido a información crítica almacenada en la base de datos, modificación de registros, creación de usuarios no autorizados o exposición de datos de clientes y operaciones.</t>
  </si>
  <si>
    <t>Pérdidas económicas por investigación del incidente, recuperación de accesos, soporte adicional, posible interrupción del servicio y daño reputacional para NAJU.</t>
  </si>
  <si>
    <t>Riesgo</t>
  </si>
  <si>
    <t>Generar una política, procedimientos y proyectos TI para reducir el riesgo de phishing o suplantación de identidad en usuarios con privilegios sobre la base de datos de clientes y ventas, considerando: - Declarar una política de concientización y capacitación en seguridad de la información, basada en ISO/IEC 27001:2022 control A.6.3, referido a formación y toma de conciencia. - Implementar capacitaciones periódicas sobre phishing, ingeniería social, uso seguro de credenciales y reporte de correos sospechosos. - Realizar simulaciones de phishing para evaluar la respuesta de los usuarios y reforzar buenas prácticas, considerando CIS Control 14, referido a concientización y entrenamiento de seguridad. - Aplicar autenticación multifactor MFA para cuentas administrativas del ERP POS, considerando ISO/IEC 27001:2022 control A.5.17 y CIS Control 6. - Establecer un procedimiento de gestión de accesos, bloqueo de cuentas comprometidas y cambio inmediato de credenciales ante sospecha de phishing. - Monitorear accesos administrativos, intentos fallidos, conexiones desde ubicaciones inusuales y cambios críticos realizados por usuarios privilegiados, considerando ISO/IEC 27001:2022 controles A.8.15 y A.8.16. - Implementar como proyecto TI un sistema de alertas para accesos sospechosos y revisión periódica de usuarios con privilegios administrativos.</t>
  </si>
  <si>
    <t>Fundamente su respuesta aquí: En el mapa de calor del riesgo residual se observa una disminución de la exposición después de aplicar los controles propuestos para los dos activos críticos evaluados: la Plataforma ERP POS  y la Base de datos de clientes y ventas. R1, R2 y R3 bajan su probabilidad a 1, aunque mantienen impacto 4 debido a la criticidad de la plataforma. R4 y R6 quedan en probabilidad 2 e impacto 3, clasificados como moderados, mientras que R5 queda en probabilidad 2 e impacto 2, clasificado como bajo. Esto demuestra que los tratamientos reducen principalmente la probabilidad de ocurrencia, aunque algunos impactos siguen siendo relevantes por la importancia de los activos evaluados.</t>
  </si>
  <si>
    <t>MODERADO</t>
  </si>
  <si>
    <t>El riesgo se reduce mediante capacitación, simulaciones de phishing, MFA, gestión de accesos y monitoreo de actividades privilegiadas sobre la base de datos. Se mantiene un riesgo residual moderado porque el factor humano no puede eliminarse completamente y requiere seguimiento periódico.</t>
  </si>
  <si>
    <t>Establecimiento y mantenimiento del protafolio</t>
  </si>
  <si>
    <t>Se seleccionan programas erróneos para implementar que no se alinean con la estrategia y las prioridades corporativas.</t>
  </si>
  <si>
    <t>Existen iniciativas duplicadas.</t>
  </si>
  <si>
    <t>Un programa nuevo e importante genera incompatibilidad a largo plazo con la arquitectura empresarial.</t>
  </si>
  <si>
    <t>Los recursos en competencia se asignan y gestionan en forma ineficiente y no se alinean con las prioridades del negocio.</t>
  </si>
  <si>
    <t>Gestión del ciclo de vida de los programas/proyectos (inicio, aspectos económicos, entrega, calidad y finalización de los programas/ proyectos)</t>
  </si>
  <si>
    <t>No se completan los proyectos con fallas (debido a costos, demoras, arrastres en el alcance, prioridades cambiantes de negocios).</t>
  </si>
  <si>
    <t>El presupuesto para proyectos de TI se encuentra excedido.</t>
  </si>
  <si>
    <t>Ocasionalmente, se tienen entregas tardías de los proyectos de TI por un departamento interno de desarrollo.</t>
  </si>
  <si>
    <t>Rutinariamente, existen importantes retrasos en la entrega de proyectos de TI.</t>
  </si>
  <si>
    <t>Existen demoras excesivas en proyectos de desarrollo externalizado de TI.</t>
  </si>
  <si>
    <t>Los programas/proyectos fallan debido a la falta de involucramiento activo de las partes interesadas (incluyendo al patrocinador) durante su ciclo de vida.</t>
  </si>
  <si>
    <t>Toma de decisiones sobre inversiones en TI</t>
  </si>
  <si>
    <t>Los gerentes de negocios o sus representantes no se involucran en las decisiones importantes sobre inversiones de TI (p.ej. nuevas aplicaciones u oportunidades tecnológicas, priorizaciones).</t>
  </si>
  <si>
    <t>Se selecciona el software equivocado para implementar en términos de costos, desempeño, características, compatibilidad, etc.</t>
  </si>
  <si>
    <t>Se selecciona la infraestructura equivocada para implementar, en términos de costos, desempeño, características, compatibilidad, etc.</t>
  </si>
  <si>
    <t>Se adquiere software redundante.</t>
  </si>
  <si>
    <t>Pericia y habilidades de TI</t>
  </si>
  <si>
    <t>Faltan habilidades de TI o son incompatibles, p.ej., debido a nuevas tecnologías.</t>
  </si>
  <si>
    <t>El personal de TI no comprende el negocio, lo que afecta la entrega de servicio/calidad de proyectos.</t>
  </si>
  <si>
    <t>No existen suficientes habilidades para cubrir los requerimientos del negocio.</t>
  </si>
  <si>
    <t>No existen habilidades para contratar personal de TI.</t>
  </si>
  <si>
    <t>No existe diligencia debida en el proceso de contratación del personal.</t>
  </si>
  <si>
    <t>No existe un entrenamiento adecuado, lo que lleva a que el personal de TI abandone la empresa.</t>
  </si>
  <si>
    <t>Nch-ISO/IEC 27005:2020 (ISO 2018) - Anexo C</t>
  </si>
  <si>
    <t>Amenazas</t>
  </si>
  <si>
    <t>Existe un retorno insuficiente de la inversión en el entrenamiento debido a la desvinculación temprana del parte del personal capacitado de TI (p.ej., MBA).</t>
  </si>
  <si>
    <t>Existe una dependencia excesiva del personal clave de TI.</t>
  </si>
  <si>
    <t>Nombre</t>
  </si>
  <si>
    <t>Fuente</t>
  </si>
  <si>
    <t>Existe una incapacidad para actualizar las habilidades de TI a un nivel apropiado a través del entrenamiento.</t>
  </si>
  <si>
    <t>Daño Físico</t>
  </si>
  <si>
    <t>Incendio</t>
  </si>
  <si>
    <t>A, D, E</t>
  </si>
  <si>
    <t>Daños por agua</t>
  </si>
  <si>
    <t>Contaminación</t>
  </si>
  <si>
    <t>Operaciones del personal (error humano e intento malicioso)</t>
  </si>
  <si>
    <t>Accidente grave</t>
  </si>
  <si>
    <t>Destrucción de equipo o medios</t>
  </si>
  <si>
    <t>Se abusa de los derechos de acceso de roles anteriores.</t>
  </si>
  <si>
    <t>Polvo, corrosión, congelamiento</t>
  </si>
  <si>
    <t>Eventos Naturales</t>
  </si>
  <si>
    <t>Fenómeno climático</t>
  </si>
  <si>
    <t>E</t>
  </si>
  <si>
    <t>Fenómeno sísmico</t>
  </si>
  <si>
    <t>Fenómeno volcánico</t>
  </si>
  <si>
    <t>Fenómeno meteorológico</t>
  </si>
  <si>
    <t>Inundación</t>
  </si>
  <si>
    <t>Pérdida de servicios esenciales</t>
  </si>
  <si>
    <t>Falla de sistema de aire acondicionado o suministro de agua</t>
  </si>
  <si>
    <t>A, D</t>
  </si>
  <si>
    <t>Pérdida de suministro eléctrico</t>
  </si>
  <si>
    <t>Falla de equipo de telecomunicaciones</t>
  </si>
  <si>
    <t>Perturbaciones debido a radiación</t>
  </si>
  <si>
    <t>Radiación electromagnética</t>
  </si>
  <si>
    <t>El equipo de TI es dañado accidentalmente por el personal.</t>
  </si>
  <si>
    <t>Radiación térmica</t>
  </si>
  <si>
    <t>Pulsos electromagnéticos</t>
  </si>
  <si>
    <t>Interceptación de señales de interferencia comprometedoras</t>
  </si>
  <si>
    <t>Espionaje remoto</t>
  </si>
  <si>
    <t>Escuchas a escondidas</t>
  </si>
  <si>
    <t>Robo de documentos o medios</t>
  </si>
  <si>
    <t>Robo de equipo</t>
  </si>
  <si>
    <t>Recuperación de medios reciclados o desechados</t>
  </si>
  <si>
    <t>Datos de fuentes no confiables</t>
  </si>
  <si>
    <t>Existen errores cometidos por el personal de TI (durante las actualizaciones del sistema, las copias de respaldo, el mantenimiento.</t>
  </si>
  <si>
    <t>Alteración de hardware</t>
  </si>
  <si>
    <t>Alteración de software</t>
  </si>
  <si>
    <t>Detección de ubicación</t>
  </si>
  <si>
    <t>Fallas técnicas</t>
  </si>
  <si>
    <t>Falla de equipo</t>
  </si>
  <si>
    <t>A</t>
  </si>
  <si>
    <t>Mal funcionamiento de equipo</t>
  </si>
  <si>
    <t>Mal funcionamiento de software</t>
  </si>
  <si>
    <t>Violación de mantenibilidad del sistema de información</t>
  </si>
  <si>
    <t>Acciones no autorizadas</t>
  </si>
  <si>
    <t>Uso de equipo no autorizado</t>
  </si>
  <si>
    <t>La información es ingresada incorrectamente por el personal de TI o por los usuarios de los sistemas.</t>
  </si>
  <si>
    <t>Copia fraudulenta de software</t>
  </si>
  <si>
    <t>Uso de software falsificado o copiado</t>
  </si>
  <si>
    <t>Corrupción de los datos</t>
  </si>
  <si>
    <t>Procesamiento ilegal de los datos</t>
  </si>
  <si>
    <t>Comprometimiento de funciones</t>
  </si>
  <si>
    <t>Error de uso</t>
  </si>
  <si>
    <t>Abuso de derechos</t>
  </si>
  <si>
    <t>Falsificación derechos</t>
  </si>
  <si>
    <t>Negación de acciones</t>
  </si>
  <si>
    <t>Violación de disponibilidad de personal</t>
  </si>
  <si>
    <t>El centro de datos es destruido (por sabotaje, etc.) por el personal.</t>
  </si>
  <si>
    <t>Un dispositivo con datos sensibles es robado por un miembro del personal.</t>
  </si>
  <si>
    <t>Un componente clave de la infraestructura es robado por un miembro del personal.</t>
  </si>
  <si>
    <t>Se configuran erróneamente los componentes de hardware.</t>
  </si>
  <si>
    <t>Se dañan los servidores críticos en el centro de cómputo (p.ej., por accidente, etc.)</t>
  </si>
  <si>
    <t>El hardware fue dañado intencionadamente (dispositivos de seguridad, etc.).</t>
  </si>
  <si>
    <t>Información (brecha de datos: daño, fuga y acceso)</t>
  </si>
  <si>
    <t>El personal interno de TI ha dañado componentes de hardware, lo que conlleva la destrucción (parcial) de los datos.</t>
  </si>
  <si>
    <t>La base de datos está corrupta, lo cual hace inaccesible a los datos.</t>
  </si>
  <si>
    <t>Se pierden/revelan medios portátiles que contienen datos sensibles (CD, USB, discos portátiles, etc.)</t>
  </si>
  <si>
    <t>Se pierden/revelan datos sensibles mediante ataques lógicos.</t>
  </si>
  <si>
    <t>Se pierden o no se verifica la efectividad de los medios que contienen las copias de respaldo.</t>
  </si>
  <si>
    <t>Se revela información sensible en forma accidental debido a fallas en el seguimiento de las guías de manejo de información.</t>
  </si>
  <si>
    <t>Se modifican intencionadamente los datos (contables, vinculados a la seguridad, información de ventas, etc.)</t>
  </si>
  <si>
    <t>Amenazas Humanas</t>
  </si>
  <si>
    <t>Se revela información sensible a través del correo electrónico o las redes sociales.</t>
  </si>
  <si>
    <t>Origen</t>
  </si>
  <si>
    <t>Motivación</t>
  </si>
  <si>
    <t>Consecuencias</t>
  </si>
  <si>
    <t>Se revela información sensible debido a procedimientos ineficientes de retención/archivo/eliminación.</t>
  </si>
  <si>
    <t>Hacker, cracker</t>
  </si>
  <si>
    <t xml:space="preserve">Desafío </t>
  </si>
  <si>
    <t>Hackeo</t>
  </si>
  <si>
    <t>Ego</t>
  </si>
  <si>
    <t>Existen fugas de la propiedad intelectual (PI) y/o la información competitiva, debido a la desvinculación de miembros clave de la empresa.</t>
  </si>
  <si>
    <t>Rebeldía</t>
  </si>
  <si>
    <t>Intromisiones en el sistema, robos</t>
  </si>
  <si>
    <t>Estatus</t>
  </si>
  <si>
    <t>Acceso al sistema no autorizado</t>
  </si>
  <si>
    <t>Dinero</t>
  </si>
  <si>
    <t>Criminal computacional</t>
  </si>
  <si>
    <t>Destrucción de información</t>
  </si>
  <si>
    <t>Crimen computarizado (por ejemplo, acoso cibernético)</t>
  </si>
  <si>
    <t>Divulgación ilegal de información</t>
  </si>
  <si>
    <t>Acto fraudulento (por ejemplo, reproducción, suplantación, intercepción)</t>
  </si>
  <si>
    <t>Ganancia monetaria</t>
  </si>
  <si>
    <t>Soborno de información</t>
  </si>
  <si>
    <t>Alteración de datos no autorizada</t>
  </si>
  <si>
    <t>Intromisión en el sistema</t>
  </si>
  <si>
    <t>La empresa tiene un flujo excesivo de datos y no puede extraer o deducir la información relevante para el negocio (p.ej., el problema del “big data”).</t>
  </si>
  <si>
    <t>Terrorista</t>
  </si>
  <si>
    <t xml:space="preserve">Chantaje </t>
  </si>
  <si>
    <t>Bomba/terrorismo</t>
  </si>
  <si>
    <t>Destrucción</t>
  </si>
  <si>
    <t>Guerra informática</t>
  </si>
  <si>
    <t>Explotación</t>
  </si>
  <si>
    <t>Ataque de sistema (por ejemplo (negación distribuida de servicio)</t>
  </si>
  <si>
    <t xml:space="preserve">Venganza </t>
  </si>
  <si>
    <t>Penetración al sistema</t>
  </si>
  <si>
    <t>Ganancia política</t>
  </si>
  <si>
    <t>Alteración del sistema</t>
  </si>
  <si>
    <t>Arquitectura (visión y diseño)</t>
  </si>
  <si>
    <t>Cobertura mediática</t>
  </si>
  <si>
    <t>La arquitectura empresarial es compleja e inflexible, bloqueando una mayor evolución y expansión, lo que lleva a la pérdida de oportunidades de negocio.</t>
  </si>
  <si>
    <t>Espionaje industrial (Inteligencia, compañías, gobiernos extranjeros, otros intereses de gobierno)</t>
  </si>
  <si>
    <t>Ventaja competitiva</t>
  </si>
  <si>
    <t>Ventaja de defensa</t>
  </si>
  <si>
    <t>Espionaje económico</t>
  </si>
  <si>
    <t>Ventaja política</t>
  </si>
  <si>
    <t>Explotación económica</t>
  </si>
  <si>
    <t>Robo de información</t>
  </si>
  <si>
    <t>Intromisión en la privacidad personal</t>
  </si>
  <si>
    <t>Penetración en el sistema</t>
  </si>
  <si>
    <t>Acceso no autorizado al sistema (acceso a información clasificada, privada y/o relacionada con tecnología)</t>
  </si>
  <si>
    <t>La arquitectura empresarial no se ajusta a su propósito y no respalda las prioridades del negocio.</t>
  </si>
  <si>
    <t>Internos (poco entrenados, descontentos, maliciosos, negligentes, deshonestos o empleados desvinculados)</t>
  </si>
  <si>
    <t>Curiosidad</t>
  </si>
  <si>
    <t>Asalto a un empleado</t>
  </si>
  <si>
    <t>Chantaje</t>
  </si>
  <si>
    <t>Inteligencia</t>
  </si>
  <si>
    <t>Búsqueda de información privada</t>
  </si>
  <si>
    <t>Abuso computacional</t>
  </si>
  <si>
    <t>Fraude y robo</t>
  </si>
  <si>
    <t>Errores u omisiones no intencionales (por ejemplo, error de ingreso de datos, error de programación)</t>
  </si>
  <si>
    <t>Existe una falla en la adopción y explotación oportuna de la nueva infraestructura.</t>
  </si>
  <si>
    <t>Entrada de datos falsos o corruptos</t>
  </si>
  <si>
    <t>Interceptación</t>
  </si>
  <si>
    <t>Código malicioso (por ejemplo, virus, bomba lógica, Caballo de Troya)</t>
  </si>
  <si>
    <t>Venta de información personal</t>
  </si>
  <si>
    <t>Errores de sistema</t>
  </si>
  <si>
    <t>Intromisiones de sistema</t>
  </si>
  <si>
    <t>Sabotaje de sistema</t>
  </si>
  <si>
    <t>Acceso no autorizado al sistema</t>
  </si>
  <si>
    <t>Existe una falla en la adopción y explotación oportuna de un nuevo software (funcionalidad, optimización, etc.)</t>
  </si>
  <si>
    <t>Infraestructura (hardware, sistemas operativos y tecnología de control) (selección/ implementación, operaciones y desmantelamiento)</t>
  </si>
  <si>
    <t>Se instala infraestructura nueva (innovadora) y como resultado los sistemas se tornan inesta-bles, lo que lleva a incidentes operativos, p.ej., el programa BYOD.</t>
  </si>
  <si>
    <t>Los sistemas no pueden manejar los volúmenes de transacciones cuando estos se incrementan.</t>
  </si>
  <si>
    <t>Los sistemas no pueden manejar la carga que se genera cuando se despliegan nuevas aplicaciones o iniciativas.</t>
  </si>
  <si>
    <t>Nch-ISO/IEC 27005:2020 (ISO 2018) - Anexo D</t>
  </si>
  <si>
    <t>Vulnerabilidades</t>
  </si>
  <si>
    <t>Existen fallas intermitentes en los servicios (telecomunicaciones, electricidad).</t>
  </si>
  <si>
    <t>Vulnerabilidad</t>
  </si>
  <si>
    <t>Amenaza (Ejemplo)</t>
  </si>
  <si>
    <t>Hardware</t>
  </si>
  <si>
    <t>Mantenimiento insuficiente/instalación defectuosa de medios de almacenamiento</t>
  </si>
  <si>
    <t>Falta de esquemas de reemplazo periódico</t>
  </si>
  <si>
    <t>TI es obsoleta y no satisface los nuevos requerimientos del negocio (redes, seguridad, base de datos, almacenamiento, etc.).</t>
  </si>
  <si>
    <t>Susceptibilidad a humedad, polvo, tierra</t>
  </si>
  <si>
    <t>Sensibilidad a radiación electromagnética</t>
  </si>
  <si>
    <t>Falta de configuración eficiente de control de cambio</t>
  </si>
  <si>
    <t>Susceptibilidad a variaciones de voltaje</t>
  </si>
  <si>
    <t>Pérdida de suministro de energía</t>
  </si>
  <si>
    <t>Susceptibilidad a variaciones de temperatura</t>
  </si>
  <si>
    <t>Almacenamiento desprotegido</t>
  </si>
  <si>
    <t>Robo de medios o documentos</t>
  </si>
  <si>
    <t>Falta de cuidado en el desecho</t>
  </si>
  <si>
    <t>Copia no controlada</t>
  </si>
  <si>
    <t>Fallas en el hardware por exceso de calor.</t>
  </si>
  <si>
    <t>Ensayo de software insuficiente o inexistente</t>
  </si>
  <si>
    <t>Falencias bien conocidas en el software</t>
  </si>
  <si>
    <t>No “salida de sesión” cuando se deja la estación de trabajo</t>
  </si>
  <si>
    <t>Eliminación o reutilización de medios de almacenamiento sin borrado adecuado</t>
  </si>
  <si>
    <t>Falta de rastreo de auditoria</t>
  </si>
  <si>
    <t>Asignación errónea de derechos de acceso</t>
  </si>
  <si>
    <t>No existen habilidades en el uso del software para materializar los resultados deseados (p.ej. fallas al implementar los modelos de negocio o los cambios organizacionales requeridos).</t>
  </si>
  <si>
    <t>Software ampliamente distribuido</t>
  </si>
  <si>
    <t>Corrupción de datos</t>
  </si>
  <si>
    <t>Aplicar programas de aplicación a los datos equivocados en términos de tiempo</t>
  </si>
  <si>
    <t>Interfaz de uso complicado</t>
  </si>
  <si>
    <t>Falta de documentación</t>
  </si>
  <si>
    <t>Configuración de parámetro incorrecta</t>
  </si>
  <si>
    <t>Fechas incorrectas</t>
  </si>
  <si>
    <t>Falta de mecanismo de identificación o autenticación como autenticación del usuario</t>
  </si>
  <si>
    <t>Falsificación de derechos</t>
  </si>
  <si>
    <t>Tablas de contraseñas no protegidas</t>
  </si>
  <si>
    <t>Gestión de contraseñas mediocre</t>
  </si>
  <si>
    <t>Servicios innecesarios activados</t>
  </si>
  <si>
    <t>Procesamiento ilegal de datos</t>
  </si>
  <si>
    <t>Software inmaduro o nuevo</t>
  </si>
  <si>
    <t>Especificaciones para desarrolladores poco claras o incompletas</t>
  </si>
  <si>
    <t>Falta de control de cambio eficaz</t>
  </si>
  <si>
    <t>Descarga y uso de software sin control</t>
  </si>
  <si>
    <t>Falta de copias de respaldo</t>
  </si>
  <si>
    <t>Falta de protección física del edificio, puertas y ventanas</t>
  </si>
  <si>
    <t>Falla para producir informes de gestión</t>
  </si>
  <si>
    <t>Red</t>
  </si>
  <si>
    <t>Falta de evidencia de envío o recepción de un mensaje</t>
  </si>
  <si>
    <t>Líneas de comunicación sin protección</t>
  </si>
  <si>
    <t>Escucha a escondidas</t>
  </si>
  <si>
    <t>Se implementa software inmaduro (adopción temprana, fallos, etc.)</t>
  </si>
  <si>
    <t>Tráfico sensible sin protección</t>
  </si>
  <si>
    <t>Cableado de conexión deficiente</t>
  </si>
  <si>
    <t>Punto único de falla</t>
  </si>
  <si>
    <t>Falta de identificación y autenticación de remitente o receptor</t>
  </si>
  <si>
    <t>Arquitectura de red insegura</t>
  </si>
  <si>
    <t>Transferencia de contraseñas de forma evidente</t>
  </si>
  <si>
    <t>Gestión de red no adecuada (resiliencia de ruta)</t>
  </si>
  <si>
    <t>Conexiones de red pública no protegidas</t>
  </si>
  <si>
    <t>Personal</t>
  </si>
  <si>
    <t>Ausencia de personal</t>
  </si>
  <si>
    <t>Procedimientos de reclutamiento inadecuados</t>
  </si>
  <si>
    <t>Capacitación de seguridad insuficiente</t>
  </si>
  <si>
    <t>Se selecciona e implementa software equivocado según costos, desempeño, características, compatibilidad, etc.</t>
  </si>
  <si>
    <t>Uso incorrecto de software y hardware</t>
  </si>
  <si>
    <t>Falta de concientización de seguridad</t>
  </si>
  <si>
    <t>Falta de mecanismos de seguimiento</t>
  </si>
  <si>
    <t>Trabajo no supervisado que realiza personal externo o de limpieza</t>
  </si>
  <si>
    <t>Falta de políticas para el uso correcto de medios de telecomunicaciones y mensajería</t>
  </si>
  <si>
    <t>Sitio</t>
  </si>
  <si>
    <t>Uso inadecuado o descuidado de control de acceso físico a edificios o habitaciones</t>
  </si>
  <si>
    <t>Ubicación en un área susceptible de inundación</t>
  </si>
  <si>
    <t>Red de energía eléctrica inestable</t>
  </si>
  <si>
    <t>Ordenamiento</t>
  </si>
  <si>
    <t>Falta de procedimiento formal para el registro de usuarios y anulación de registro</t>
  </si>
  <si>
    <t>Falta de proceso formal para revisión de derecho de acceso (supervisión)</t>
  </si>
  <si>
    <t>Provisiones insuficientes o falta de ellas (relacionadas con seguridad) en contratos con clientes y/o terceras partes</t>
  </si>
  <si>
    <t>Falta de procedimiento de seguimiento de las instalaciones de procesamiento de información</t>
  </si>
  <si>
    <t>Existen dificultades operativas cuando se pone un nuevo software en producción</t>
  </si>
  <si>
    <t>Falta de auditorías regulares (supervisión)</t>
  </si>
  <si>
    <t>Falta de procedimientos de identificación y evaluación de riesgos</t>
  </si>
  <si>
    <t>Falta de informes de fallas registrados en las sesiones de administrador y operador</t>
  </si>
  <si>
    <t>Respuesta inadecuada de mantenimiento de servicio</t>
  </si>
  <si>
    <t>Violación de la mantenibilidad del sistema de información</t>
  </si>
  <si>
    <t>Falta o insuficiencia de Acuerdo de Prestación de Servicio</t>
  </si>
  <si>
    <t>Violación   de   la   mantenibilidad   del sistema de información</t>
  </si>
  <si>
    <t>Falta de procedimiento de control de cambio</t>
  </si>
  <si>
    <t>Falta de procedimiento formal para control de documentación de SGSI</t>
  </si>
  <si>
    <t>Falta de procedimiento formal para supervisión de registros de SGSI</t>
  </si>
  <si>
    <t>Falta de proceso formal para autorización de información pública disponible</t>
  </si>
  <si>
    <t>Falta de asignación adecuada de responsabilidades de seguridad de la información</t>
  </si>
  <si>
    <t>Los usuarios no pueden utilizar ni explotar nuevo software aplicativo.</t>
  </si>
  <si>
    <t>Falta de planes de continuidad</t>
  </si>
  <si>
    <t>Falta de política de uso de correos electrónicos</t>
  </si>
  <si>
    <t>Falta de procedimientos para introducir software en sistemas de operación</t>
  </si>
  <si>
    <t>Falta de registros de las sesiones de administrador y operador</t>
  </si>
  <si>
    <t>Falta de procedimientos para manejo de información clasificada</t>
  </si>
  <si>
    <t>Falta de responsabilidades de seguridad de la información en las descripciones de empleo</t>
  </si>
  <si>
    <t>Falta o insuficiencia de provisiones (relacionadas con seguridad de la información) en contratos de empleados</t>
  </si>
  <si>
    <t>Falta de un proceso disciplinario definido en caso de incidente de seguridad de la información</t>
  </si>
  <si>
    <t>Falta de política formal sobre el uso de computadores portátiles</t>
  </si>
  <si>
    <t>Falta de control de activos fuera de la instalación</t>
  </si>
  <si>
    <t>Falta o insuficiencia de política de “escritorio y pantalla limpios”</t>
  </si>
  <si>
    <t>Falta de autorización de instalaciones procesadoras de información</t>
  </si>
  <si>
    <t>Falta de mecanismos de seguimientos establecidos para violaciones de seguridad</t>
  </si>
  <si>
    <t>Modificación intencional del software conduce a datos erróneos o acciones fraudulentas.</t>
  </si>
  <si>
    <t>Falta de revisiones por la gerencia regulares</t>
  </si>
  <si>
    <t>Uso no autorizado de equipo</t>
  </si>
  <si>
    <t>Falta de procedimientos para informar debilidades de seguridad</t>
  </si>
  <si>
    <t>Falta de procedimientos de cumplimiento de provisiones con derechos Intelectuales</t>
  </si>
  <si>
    <t>Uso de software copiado o falsificado</t>
  </si>
  <si>
    <t>Modificación no intencional del software conduce a resultados inesperados.</t>
  </si>
  <si>
    <t>Ocurren errores no intencionales en la gestión de configuraciones y de cambios.</t>
  </si>
  <si>
    <t>Regularmente,	ocurren fallas en el funcionamiento del software o de las aplicaciones críticas.</t>
  </si>
  <si>
    <t>Intermitentemente, ocurren problemas con el software de sistemas importantes.</t>
  </si>
  <si>
    <t>El software aplicativo es obsoleto (p.ej., tecno-logías anticuadas, pobremente documentadas, costosas de mantener, difíciles de extender, no integradas en la arquitectura vigente).</t>
  </si>
  <si>
    <t>Método de Evaluación de Riesgos (Medición del Riesgo)</t>
  </si>
  <si>
    <t>No existen habilidades para retornar a versiones anteriores en caso de problemas operativos con nuevas versiones.</t>
  </si>
  <si>
    <t>DEFINICIÓN DE APETITO DEL RIESGO</t>
  </si>
  <si>
    <t>Impacto vs Probabilidad: Mapa de Calor</t>
  </si>
  <si>
    <t>MAPA DE CALOR APETITO DEL RIESGO</t>
  </si>
  <si>
    <t>Propiedad del negocio sobre la TI</t>
  </si>
  <si>
    <t>El negocio no asume la responsabilidad que debería sobre las áreas de TI, p.ej., los requerimientos funcionales, las prioridades en el desarrollo, la evaluación de oportunidades a través de nuevas tecnologías.</t>
  </si>
  <si>
    <t>ESCALA DE PROBABILIDAD IMPACTO</t>
  </si>
  <si>
    <t>Existe una dependencia y uso excesivos de aplicaciones de usuario final y de soluciones ad-hoc para necesidades importantes de la información, lo que lleva a deficiencias en la seguridad, datos imprecisos o incrementos en los costos y el uso ineficiente de recursos.</t>
  </si>
  <si>
    <t>VALORIZACION NIVEL/VALOR</t>
  </si>
  <si>
    <t>Se generan costos o poca efectividad en las compras de TI que se concretan fuera de los procesos de adquisición.</t>
  </si>
  <si>
    <t>IMPROBABLE 2</t>
  </si>
  <si>
    <t>MODERADA 3</t>
  </si>
  <si>
    <t>PROBABLE 4</t>
  </si>
  <si>
    <t>CASI CERTEZA 5</t>
  </si>
  <si>
    <t>Requerimientos inadecuados llevan a acuerdos de nivel de servicios (SLAs) poco efectivos.</t>
  </si>
  <si>
    <t>Selección/desempeño del proveedor, cumplimiento contractual, discontinuidad del servicio y trasferencia.</t>
  </si>
  <si>
    <t>Falta de debida diligencia respecto a la viabilidad financiera, capacidad de entrega y sustentabilidad de los servicios del proveedor.</t>
  </si>
  <si>
    <t>MUY IMPROBABLE</t>
  </si>
  <si>
    <t>INSIGNIFICANTE</t>
  </si>
  <si>
    <t>Se aceptan términos de los proveedores de TI que no razonables para el negocio.</t>
  </si>
  <si>
    <t>IMPROBABLE</t>
  </si>
  <si>
    <t>El soporte y la entrega de servicios por los proveedores son inadecuados y no alineados con los acuerdos de niveles de servicio (SLA)</t>
  </si>
  <si>
    <t>MENOR</t>
  </si>
  <si>
    <t>El desempeño de los servicios externalizados es inadecuado en los acuerdos de gran escala y largo alcance.</t>
  </si>
  <si>
    <t>MODERADA</t>
  </si>
  <si>
    <t>Existen incumplimientos de las licencias de software (uso y/o distribución de software sin las correspondientes licencias, etc.)</t>
  </si>
  <si>
    <t>PROBABLE</t>
  </si>
  <si>
    <t>MAYOR</t>
  </si>
  <si>
    <t>Incapacidad para transferir a proveedores alternativos debido a una confianza excesiva en el proveedor actual.</t>
  </si>
  <si>
    <t>CASI CERTEZA</t>
  </si>
  <si>
    <t>Los servicios en la nube son adquiridos por el negocio sin consultar/involucrar a TI, lo que resulta en la incapacidad de integrar el servicio con los prestados en forma interna.</t>
  </si>
  <si>
    <t>CATASTRÓFICO</t>
  </si>
  <si>
    <t>Cumplimiento regulatorio</t>
  </si>
  <si>
    <t>No se cumple con regulaciones, p.ej., privacidad, contabilidad, manufactura, etc.</t>
  </si>
  <si>
    <t>CRITERIOS DE PARA PROBABILIDAD E IMPACTO DE RIESGOS</t>
  </si>
  <si>
    <t>ORIENTACIÓN DE VALORES DE PROBABILIDAD</t>
  </si>
  <si>
    <t>El desconocimiento de los cambios potenciales en la regulación tiene un impacto en el ambiente operativo de TI.</t>
  </si>
  <si>
    <t>ORIENTACIÓN DE VALORES DE IMPACTO</t>
  </si>
  <si>
    <t>Nivel</t>
  </si>
  <si>
    <t>Valor</t>
  </si>
  <si>
    <t>El regulador impide el flujo de datos a través de las fronteras debido a controles insuficientes</t>
  </si>
  <si>
    <t>Descripción de Probabilidad</t>
  </si>
  <si>
    <t>Descripción de Impacto</t>
  </si>
  <si>
    <t xml:space="preserve">Muy improbable </t>
  </si>
  <si>
    <t>Riesgo cuya probabilidad de ocurrencia es muy baja, es decir, se tiene entre 1% a 10% de seguridad que éste se presente en el año en curso</t>
  </si>
  <si>
    <t>Geopolítico</t>
  </si>
  <si>
    <t>Insignificante</t>
  </si>
  <si>
    <t>No se tiene acceso debido a incidentes disruptivos en otros ambientes de la empresa.</t>
  </si>
  <si>
    <t xml:space="preserve">Riesgo cuya materialización no genera pérdidas financieras ($) ni compromete de ninguna forma la imagen pública de la organización y del Gobierno. Su materialización puede tener un  pequeño o nulo efecto en el desarrollo del proceso y que no afectaría  el cumplimiento de los objetivos en el año en curso. </t>
  </si>
  <si>
    <t xml:space="preserve">Improbable </t>
  </si>
  <si>
    <t xml:space="preserve">Riesgo cuya probabilidad de ocurrencia es baja, es decir, se tiene entre 11% a 30% de seguridad que éste se presente en el año en curso. </t>
  </si>
  <si>
    <t>Menor</t>
  </si>
  <si>
    <t xml:space="preserve">Riesgo cuya materialización puede generar pérdidas financieras ($) que tendrán un impacto menor en el presupuesto y/o comprometen de forma menor la imagen pública de la organización y del Gobierno. Su materialización causaría un bajo daño en el desarrollo del proceso y no afectaría el cumplimiento de los objetivos en el año en curso. </t>
  </si>
  <si>
    <t>Moderado</t>
  </si>
  <si>
    <t xml:space="preserve">Riesgo cuya probabilidad de ocurrencia es media, es decir, se tiene entre  31% a  65% de seguridad que éste se presente en el año en curso. </t>
  </si>
  <si>
    <t xml:space="preserve">Riesgo cuya materialización puede generar pérdidas financieras ($) que tendrán un impacto moderado en el presupuesto y/o comprometen moderadamente la imagen pública de la organización y del Gobierno.  Su materialización causaría un deterioro en el desarrollo del proceso dificultando o retrasando el cumplimiento de sus objetivos, impidiendo que éste se desarrolle parcialmente en forma normal en el año en curso. </t>
  </si>
  <si>
    <t>Probable</t>
  </si>
  <si>
    <t xml:space="preserve">Riesgo cuya probabilidad de ocurrencia es alta, es decir, se tiene entre 66% a   89% de seguridad que éste se presente en el año en curso. </t>
  </si>
  <si>
    <t>Mayor</t>
  </si>
  <si>
    <t>Riesgo cuya materialización puede generar pérdidas financieras ($) que tendrán un impacto importante en el presupuesto y/o comprometen fuertemente la imagen pública de la organización y del Gobierno. Su materialización dañaría significativamente el desarrollo del proceso y el cumplimiento de los objetivos, impidiendo que se desarrollen total o parcialmente en forma normal en el año en curso.</t>
  </si>
  <si>
    <t>La interferencia del Estado y las políticas nacionales limitan las capacidades de</t>
  </si>
  <si>
    <t>Casi certeza</t>
  </si>
  <si>
    <t>Riesgo cuya probabilidad de ocurrencia es muy alta, es decir, se tiene un alto grado de seguridad que éste se presente en el año en curso. (90% a 100%)</t>
  </si>
  <si>
    <t>Catastrófico</t>
  </si>
  <si>
    <t>Riesgo cuya materialización puede generar pérdidas financieras ($) que tendrán un impacto catastrófico en el presupuesto y/o comprometen totalmente la imagen pública de la organización y del Gobierno. Su materialización dañaría gravemente el desarrollo del proceso y el cumplimiento de los objetivos, impidiendo finalmente que estos se logren en el año en curso.</t>
  </si>
  <si>
    <t>Definición y Escala del Apetito del Riesgo (AR)</t>
  </si>
  <si>
    <t>FACTORES DE SEVERIDAD</t>
  </si>
  <si>
    <t>Las acciones dirigidas contra la empresa resultan en la destrucción de la</t>
  </si>
  <si>
    <t>SEVERIDAD</t>
  </si>
  <si>
    <t>Nivel de Probabilidad</t>
  </si>
  <si>
    <t>Nivel de Impacto</t>
  </si>
  <si>
    <t>Robo o destrucción de la infraestructura</t>
  </si>
  <si>
    <t>Cálculo de Severidad</t>
  </si>
  <si>
    <t>Se ha producido el robo de un dispositivo con datos sensibles.</t>
  </si>
  <si>
    <t>5. Casi Certeza</t>
  </si>
  <si>
    <t>5. Catastrófico</t>
  </si>
  <si>
    <t>Se ha producido el robo de una importante cantidad de servidores de desarrollo.</t>
  </si>
  <si>
    <t>4. Mayores</t>
  </si>
  <si>
    <t>Se destruye el centro de datos (sabotaje, etc.).</t>
  </si>
  <si>
    <t>4. Probable</t>
  </si>
  <si>
    <t>Dispositivos individuales se destruyen accidentalmente.</t>
  </si>
  <si>
    <t>3. Moderadas</t>
  </si>
  <si>
    <t>3. Moderado</t>
  </si>
  <si>
    <t>Se ha producido una intrusión de código malicioso en los servidores operativos críticos.</t>
  </si>
  <si>
    <t>Las computadores portátiles se infectan frecuentemente con código malicioso.</t>
  </si>
  <si>
    <t>2. Improbable</t>
  </si>
  <si>
    <t>2. Menores</t>
  </si>
  <si>
    <t>Un empleado insatisfecho implementa una bomba lógica que produce la pérdida de datos.</t>
  </si>
  <si>
    <t>Roban los datos de la compañía a través de accesos no autorizados obtenidos mediante ataques de “phishing”.</t>
  </si>
  <si>
    <t>Ataques lógicos</t>
  </si>
  <si>
    <t>1. Insignificantes</t>
  </si>
  <si>
    <t>1. Muy Improbable</t>
  </si>
  <si>
    <t>Usuarios no autorizados tratan de forzar el ingreso a los sistemas.</t>
  </si>
  <si>
    <t>BAJO</t>
  </si>
  <si>
    <t>Existen interrupciones en los servicios debido a ataques de denegación de servicios.</t>
  </si>
  <si>
    <t>El sitio web sufre un ataque que modifica su apariencia (“defacement”).</t>
  </si>
  <si>
    <t>Se registran casos de espionaje industrial.</t>
  </si>
  <si>
    <t>Existen ataques de virus.</t>
  </si>
  <si>
    <t>Se registran casos de hacktivismo (“hacktivism”).</t>
  </si>
  <si>
    <t>Acción industrial</t>
  </si>
  <si>
    <t>No es posible acceder a las instalaciones y edificios debido a una huelga gremial.</t>
  </si>
  <si>
    <t>El personal clave no se encuentra disponible debido a impedimentos de la industria (p.ej., huelga en el transporte).</t>
  </si>
  <si>
    <t>Un tercero no puede proveer servicios por una huelga.</t>
  </si>
  <si>
    <t>No hay acceso al capital debido a una huelga del sector bancario.</t>
  </si>
  <si>
    <t>Ambiental</t>
  </si>
  <si>
    <t>El equipamiento utilizado no es amigable en cuanto al medio ambiente (p.ej., consumo de energía, embalajes, etc.)</t>
  </si>
  <si>
    <t>Actos de la naturaleza</t>
  </si>
  <si>
    <t>Hay un terremoto.</t>
  </si>
  <si>
    <t>Hay un tsunami.</t>
  </si>
  <si>
    <t>Hay fuertes tormentas y ciclones tropicales.</t>
  </si>
  <si>
    <t>Hay un gran incendio fuera de control.</t>
  </si>
  <si>
    <t>Hay una inundación.</t>
  </si>
  <si>
    <t>Hay una crecida en el nivel del agua.</t>
  </si>
  <si>
    <t>Innovación</t>
  </si>
  <si>
    <t>No se identifican tendencias nuevas e importantes de TI.</t>
  </si>
  <si>
    <t>Hay una falla en la adopción y en el aprovechamiento oportuno de un nuevo software (funcionalidad, optimización, etc.).</t>
  </si>
  <si>
    <t>No se identifican tendencias nuevas e importantes de software (consumismo en TI).</t>
  </si>
  <si>
    <t>RESPONSABLE</t>
  </si>
  <si>
    <t>EVALUACION DE CRITICIDAD</t>
  </si>
  <si>
    <t>Responsable</t>
  </si>
  <si>
    <t>Criticidad Resultado</t>
  </si>
  <si>
    <t>Servicios</t>
  </si>
  <si>
    <t>contratado a terceros (CLOUD)</t>
  </si>
  <si>
    <t>Director</t>
  </si>
  <si>
    <t>web</t>
  </si>
  <si>
    <t>Jefe Finanzas</t>
  </si>
  <si>
    <t>MEDIO</t>
  </si>
  <si>
    <t>correo electrónico</t>
  </si>
  <si>
    <t>Jefe DAF</t>
  </si>
  <si>
    <t>almacenamiento de ficheros</t>
  </si>
  <si>
    <t>Jefe Facturación</t>
  </si>
  <si>
    <t>Redes de comunicación</t>
  </si>
  <si>
    <t>Jefe Presupuestos</t>
  </si>
  <si>
    <t>Instalaciones</t>
  </si>
  <si>
    <t>multimedia</t>
  </si>
  <si>
    <t>Jefe Comunicaciones</t>
  </si>
  <si>
    <t xml:space="preserve">Personal </t>
  </si>
  <si>
    <t>código fuente</t>
  </si>
  <si>
    <t>Jefe Gestión de Personas</t>
  </si>
  <si>
    <t>Registro Físico</t>
  </si>
  <si>
    <t>código ejecutable</t>
  </si>
  <si>
    <t>Jefe Tecnologías de Información</t>
  </si>
  <si>
    <t>Incluir según sea necesario</t>
  </si>
  <si>
    <t>datos de configuración</t>
  </si>
  <si>
    <t>Jefe Administración Interna</t>
  </si>
  <si>
    <t>desarrollo propio (in house)</t>
  </si>
  <si>
    <t>Jefe Seguridad</t>
  </si>
  <si>
    <t>desarrollo a medida (subcontratado)</t>
  </si>
  <si>
    <t>Gestor de Contratos</t>
  </si>
  <si>
    <t>servidor de aplicaciones</t>
  </si>
  <si>
    <t>Gestor de Comunicaciones</t>
  </si>
  <si>
    <t>servidor de ficheros</t>
  </si>
  <si>
    <t>Encargados de Sistemas</t>
  </si>
  <si>
    <t>sistema de gestión de bases de datos</t>
  </si>
  <si>
    <t>Jefe Infraestructura</t>
  </si>
  <si>
    <t>ofimática</t>
  </si>
  <si>
    <t>Jefe de Proyectos y Sistemas</t>
  </si>
  <si>
    <t>antivirus</t>
  </si>
  <si>
    <t>Jefe de Plataformas Tecnologicas</t>
  </si>
  <si>
    <t>sistema operativo</t>
  </si>
  <si>
    <t>sistema de backup</t>
  </si>
  <si>
    <t>servidor</t>
  </si>
  <si>
    <t>computador/notebook</t>
  </si>
  <si>
    <t>almacen de datos</t>
  </si>
  <si>
    <t>periféricos</t>
  </si>
  <si>
    <t>celular/smartphone</t>
  </si>
  <si>
    <t>impresora</t>
  </si>
  <si>
    <t>red telefónica</t>
  </si>
  <si>
    <t>punto a punto</t>
  </si>
  <si>
    <t>red inalámbrica</t>
  </si>
  <si>
    <t>por satélite</t>
  </si>
  <si>
    <t>red local</t>
  </si>
  <si>
    <t>Internet</t>
  </si>
  <si>
    <t>red privada virtual VPN</t>
  </si>
  <si>
    <t>site/emplazamiento</t>
  </si>
  <si>
    <t>edificio</t>
  </si>
  <si>
    <t>piso/planta</t>
  </si>
  <si>
    <t>sala de servidores</t>
  </si>
  <si>
    <t>oficina</t>
  </si>
  <si>
    <t>usuarios externos</t>
  </si>
  <si>
    <t>usuarios internos</t>
  </si>
  <si>
    <t>operadores</t>
  </si>
  <si>
    <t>administradores de sistemas</t>
  </si>
  <si>
    <t>administradores de BBDD</t>
  </si>
  <si>
    <t>desarrolladores</t>
  </si>
  <si>
    <t>subcontratas</t>
  </si>
  <si>
    <t>proveedores</t>
  </si>
  <si>
    <t>seguridad</t>
  </si>
  <si>
    <t>documentado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</si>
</sst>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16">
    <font>
      <sz val="11.0"/>
      <color theme="1"/>
      <name val="Calibri"/>
      <scheme val="minor"/>
    </font>
    <font>
      <b/>
      <sz val="14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sz val="9.0"/>
      <color rgb="FF231F20"/>
      <name val="Arial"/>
    </font>
    <font>
      <sz val="10.0"/>
      <color theme="1"/>
      <name val="Arial"/>
    </font>
    <font>
      <sz val="11.0"/>
      <color rgb="FF231F2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0"/>
      <name val="Calibri"/>
    </font>
    <font>
      <sz val="1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</fills>
  <borders count="9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/>
      <bottom style="thin">
        <color rgb="FF000000"/>
      </bottom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</border>
    <border>
      <left/>
      <right style="medium">
        <color rgb="FF000000"/>
      </right>
      <top/>
      <bottom/>
    </border>
    <border>
      <left style="medium">
        <color rgb="FF000000"/>
      </left>
      <right/>
      <bottom/>
    </border>
    <border>
      <left style="medium">
        <color rgb="FF000000"/>
      </left>
      <right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medium">
        <color rgb="FF000000"/>
      </right>
      <top/>
      <bottom style="thin">
        <color rgb="FFA6A6A6"/>
      </bottom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medium">
        <color rgb="FF000000"/>
      </right>
      <top style="thin">
        <color rgb="FFA6A6A6"/>
      </top>
      <bottom style="thin">
        <color rgb="FFA6A6A6"/>
      </bottom>
    </border>
    <border>
      <left style="medium">
        <color rgb="FF000000"/>
      </left>
      <right style="thin">
        <color rgb="FFA6A6A6"/>
      </right>
      <top style="thin">
        <color rgb="FFA6A6A6"/>
      </top>
      <bottom style="medium">
        <color rgb="FF000000"/>
      </bottom>
    </border>
    <border>
      <left style="thin">
        <color rgb="FFA6A6A6"/>
      </left>
      <right style="medium">
        <color rgb="FF000000"/>
      </right>
      <top style="thin">
        <color rgb="FFA6A6A6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3" fontId="6" numFmtId="0" xfId="0" applyBorder="1" applyFill="1" applyFont="1"/>
    <xf borderId="4" fillId="2" fontId="7" numFmtId="0" xfId="0" applyBorder="1" applyFont="1"/>
    <xf borderId="5" fillId="0" fontId="5" numFmtId="0" xfId="0" applyBorder="1" applyFont="1"/>
    <xf borderId="0" fillId="0" fontId="8" numFmtId="0" xfId="0" applyAlignment="1" applyFont="1">
      <alignment horizontal="center"/>
    </xf>
    <xf borderId="6" fillId="2" fontId="6" numFmtId="0" xfId="0" applyBorder="1" applyFont="1"/>
    <xf borderId="7" fillId="4" fontId="6" numFmtId="0" xfId="0" applyBorder="1" applyFill="1" applyFont="1"/>
    <xf borderId="8" fillId="0" fontId="6" numFmtId="0" xfId="0" applyBorder="1" applyFont="1"/>
    <xf borderId="9" fillId="4" fontId="6" numFmtId="0" xfId="0" applyBorder="1" applyFont="1"/>
    <xf borderId="6" fillId="2" fontId="4" numFmtId="0" xfId="0" applyAlignment="1" applyBorder="1" applyFont="1">
      <alignment horizontal="center"/>
    </xf>
    <xf borderId="10" fillId="0" fontId="6" numFmtId="0" xfId="0" applyAlignment="1" applyBorder="1" applyFont="1">
      <alignment readingOrder="0"/>
    </xf>
    <xf borderId="11" fillId="4" fontId="4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14" fillId="2" fontId="4" numFmtId="0" xfId="0" applyAlignment="1" applyBorder="1" applyFont="1">
      <alignment horizontal="center"/>
    </xf>
    <xf borderId="15" fillId="0" fontId="6" numFmtId="0" xfId="0" applyBorder="1" applyFont="1"/>
    <xf borderId="16" fillId="0" fontId="5" numFmtId="0" xfId="0" applyBorder="1" applyFont="1"/>
    <xf borderId="17" fillId="2" fontId="4" numFmtId="0" xfId="0" applyAlignment="1" applyBorder="1" applyFont="1">
      <alignment horizontal="center"/>
    </xf>
    <xf borderId="18" fillId="0" fontId="6" numFmtId="0" xfId="0" applyAlignment="1" applyBorder="1" applyFont="1">
      <alignment readingOrder="0"/>
    </xf>
    <xf borderId="19" fillId="4" fontId="4" numFmtId="0" xfId="0" applyAlignment="1" applyBorder="1" applyFont="1">
      <alignment horizontal="center"/>
    </xf>
    <xf borderId="20" fillId="4" fontId="6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22" fillId="0" fontId="5" numFmtId="0" xfId="0" applyBorder="1" applyFont="1"/>
    <xf borderId="23" fillId="4" fontId="6" numFmtId="0" xfId="0" applyAlignment="1" applyBorder="1" applyFont="1">
      <alignment horizontal="center" vertical="center"/>
    </xf>
    <xf borderId="20" fillId="4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readingOrder="0"/>
    </xf>
    <xf borderId="25" fillId="5" fontId="4" numFmtId="0" xfId="0" applyAlignment="1" applyBorder="1" applyFill="1" applyFont="1">
      <alignment horizontal="center" readingOrder="1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vertical="top"/>
    </xf>
    <xf borderId="27" fillId="0" fontId="5" numFmtId="0" xfId="0" applyBorder="1" applyFont="1"/>
    <xf borderId="23" fillId="4" fontId="6" numFmtId="0" xfId="0" applyAlignment="1" applyBorder="1" applyFont="1">
      <alignment horizontal="center" shrinkToFit="0" vertical="center" wrapText="1"/>
    </xf>
    <xf borderId="28" fillId="5" fontId="4" numFmtId="0" xfId="0" applyAlignment="1" applyBorder="1" applyFont="1">
      <alignment horizontal="center" readingOrder="1" shrinkToFit="0" vertical="center" wrapText="1"/>
    </xf>
    <xf borderId="29" fillId="0" fontId="5" numFmtId="0" xfId="0" applyBorder="1" applyFont="1"/>
    <xf borderId="30" fillId="0" fontId="5" numFmtId="0" xfId="0" applyBorder="1" applyFont="1"/>
    <xf borderId="31" fillId="0" fontId="6" numFmtId="0" xfId="0" applyAlignment="1" applyBorder="1" applyFont="1">
      <alignment readingOrder="0" shrinkToFit="0" vertical="top" wrapText="1"/>
    </xf>
    <xf borderId="32" fillId="4" fontId="6" numFmtId="0" xfId="0" applyAlignment="1" applyBorder="1" applyFont="1">
      <alignment horizontal="center" shrinkToFit="0" vertical="center" wrapText="1"/>
    </xf>
    <xf borderId="33" fillId="5" fontId="4" numFmtId="0" xfId="0" applyAlignment="1" applyBorder="1" applyFont="1">
      <alignment horizontal="center" readingOrder="1" shrinkToFit="0" vertical="center" wrapText="1"/>
    </xf>
    <xf borderId="0" fillId="0" fontId="3" numFmtId="0" xfId="0" applyAlignment="1" applyFont="1">
      <alignment shrinkToFit="0" wrapText="1"/>
    </xf>
    <xf borderId="32" fillId="2" fontId="6" numFmtId="0" xfId="0" applyAlignment="1" applyBorder="1" applyFont="1">
      <alignment horizontal="center" shrinkToFit="0" vertical="center" wrapText="1"/>
    </xf>
    <xf borderId="34" fillId="0" fontId="5" numFmtId="0" xfId="0" applyBorder="1" applyFont="1"/>
    <xf borderId="35" fillId="4" fontId="6" numFmtId="0" xfId="0" applyAlignment="1" applyBorder="1" applyFont="1">
      <alignment horizontal="center" shrinkToFit="0" vertical="center" wrapText="1"/>
    </xf>
    <xf borderId="36" fillId="0" fontId="5" numFmtId="0" xfId="0" applyBorder="1" applyFont="1"/>
    <xf borderId="37" fillId="0" fontId="5" numFmtId="0" xfId="0" applyBorder="1" applyFont="1"/>
    <xf borderId="23" fillId="0" fontId="6" numFmtId="0" xfId="0" applyAlignment="1" applyBorder="1" applyFont="1">
      <alignment horizontal="center" vertical="top"/>
    </xf>
    <xf borderId="38" fillId="6" fontId="6" numFmtId="0" xfId="0" applyAlignment="1" applyBorder="1" applyFill="1" applyFont="1">
      <alignment horizontal="center" readingOrder="1" shrinkToFit="0" wrapText="1"/>
    </xf>
    <xf borderId="23" fillId="0" fontId="6" numFmtId="0" xfId="0" applyAlignment="1" applyBorder="1" applyFont="1">
      <alignment readingOrder="0"/>
    </xf>
    <xf borderId="23" fillId="0" fontId="6" numFmtId="0" xfId="0" applyAlignment="1" applyBorder="1" applyFont="1">
      <alignment horizontal="left" shrinkToFit="0" vertical="top" wrapText="1"/>
    </xf>
    <xf borderId="39" fillId="6" fontId="6" numFmtId="0" xfId="0" applyAlignment="1" applyBorder="1" applyFont="1">
      <alignment horizontal="center" readingOrder="1" shrinkToFit="0" wrapText="1"/>
    </xf>
    <xf borderId="23" fillId="0" fontId="6" numFmtId="0" xfId="0" applyBorder="1" applyFont="1"/>
    <xf borderId="23" fillId="0" fontId="6" numFmtId="0" xfId="0" applyAlignment="1" applyBorder="1" applyFont="1">
      <alignment horizontal="center" shrinkToFit="0" vertical="top" wrapText="1"/>
    </xf>
    <xf borderId="40" fillId="0" fontId="5" numFmtId="0" xfId="0" applyBorder="1" applyFont="1"/>
    <xf quotePrefix="1" borderId="23" fillId="0" fontId="6" numFmtId="0" xfId="0" applyAlignment="1" applyBorder="1" applyFont="1">
      <alignment horizontal="left" shrinkToFit="0" vertical="top" wrapText="1"/>
    </xf>
    <xf borderId="24" fillId="6" fontId="6" numFmtId="0" xfId="0" applyAlignment="1" applyBorder="1" applyFont="1">
      <alignment horizontal="center" readingOrder="1" shrinkToFit="0" wrapText="1"/>
    </xf>
    <xf borderId="41" fillId="0" fontId="5" numFmtId="0" xfId="0" applyBorder="1" applyFont="1"/>
    <xf borderId="28" fillId="0" fontId="6" numFmtId="0" xfId="0" applyAlignment="1" applyBorder="1" applyFont="1">
      <alignment readingOrder="0"/>
    </xf>
    <xf borderId="42" fillId="0" fontId="5" numFmtId="0" xfId="0" applyBorder="1" applyFont="1"/>
    <xf borderId="23" fillId="0" fontId="6" numFmtId="9" xfId="0" applyAlignment="1" applyBorder="1" applyFont="1" applyNumberFormat="1">
      <alignment horizontal="center" vertical="top"/>
    </xf>
    <xf borderId="43" fillId="0" fontId="5" numFmtId="0" xfId="0" applyBorder="1" applyFont="1"/>
    <xf borderId="44" fillId="0" fontId="5" numFmtId="0" xfId="0" applyBorder="1" applyFont="1"/>
    <xf borderId="23" fillId="0" fontId="6" numFmtId="0" xfId="0" applyAlignment="1" applyBorder="1" applyFont="1">
      <alignment readingOrder="0" shrinkToFit="0" wrapText="1"/>
    </xf>
    <xf borderId="45" fillId="0" fontId="5" numFmtId="0" xfId="0" applyBorder="1" applyFont="1"/>
    <xf borderId="23" fillId="0" fontId="6" numFmtId="9" xfId="0" applyBorder="1" applyFont="1" applyNumberFormat="1"/>
    <xf borderId="46" fillId="0" fontId="5" numFmtId="0" xfId="0" applyBorder="1" applyFont="1"/>
    <xf borderId="28" fillId="0" fontId="6" numFmtId="0" xfId="0" applyBorder="1" applyFont="1"/>
    <xf borderId="21" fillId="5" fontId="4" numFmtId="0" xfId="0" applyAlignment="1" applyBorder="1" applyFont="1">
      <alignment horizontal="center" readingOrder="1" shrinkToFit="0" textRotation="90" vertical="center" wrapText="1"/>
    </xf>
    <xf borderId="32" fillId="6" fontId="6" numFmtId="0" xfId="0" applyAlignment="1" applyBorder="1" applyFont="1">
      <alignment horizontal="right" readingOrder="1" shrinkToFit="0" vertical="center" wrapText="1"/>
    </xf>
    <xf borderId="8" fillId="7" fontId="4" numFmtId="0" xfId="0" applyAlignment="1" applyBorder="1" applyFill="1" applyFont="1">
      <alignment horizontal="center" shrinkToFit="0" vertical="center" wrapText="1"/>
    </xf>
    <xf borderId="47" fillId="8" fontId="4" numFmtId="0" xfId="0" applyAlignment="1" applyBorder="1" applyFill="1" applyFont="1">
      <alignment horizontal="center" readingOrder="1" shrinkToFit="0" vertical="center" wrapText="1"/>
    </xf>
    <xf borderId="48" fillId="8" fontId="4" numFmtId="0" xfId="0" applyAlignment="1" applyBorder="1" applyFont="1">
      <alignment horizontal="center" readingOrder="1" shrinkToFit="0" vertical="center" wrapText="1"/>
    </xf>
    <xf borderId="49" fillId="5" fontId="4" numFmtId="0" xfId="0" applyAlignment="1" applyBorder="1" applyFont="1">
      <alignment horizontal="center" readingOrder="1" shrinkToFit="0" textRotation="90" vertical="center" wrapText="1"/>
    </xf>
    <xf borderId="10" fillId="8" fontId="4" numFmtId="0" xfId="0" applyAlignment="1" applyBorder="1" applyFont="1">
      <alignment horizontal="center" readingOrder="1" shrinkToFit="0" vertical="center" wrapText="1"/>
    </xf>
    <xf borderId="50" fillId="0" fontId="5" numFmtId="0" xfId="0" applyBorder="1" applyFont="1"/>
    <xf borderId="51" fillId="0" fontId="6" numFmtId="0" xfId="0" applyAlignment="1" applyBorder="1" applyFont="1">
      <alignment readingOrder="0"/>
    </xf>
    <xf borderId="15" fillId="7" fontId="4" numFmtId="0" xfId="0" applyAlignment="1" applyBorder="1" applyFont="1">
      <alignment horizontal="center" readingOrder="1" shrinkToFit="0" vertical="center" wrapText="1"/>
    </xf>
    <xf borderId="23" fillId="7" fontId="4" numFmtId="0" xfId="0" applyAlignment="1" applyBorder="1" applyFont="1">
      <alignment horizontal="center" readingOrder="1" shrinkToFit="0" vertical="center" wrapText="1"/>
    </xf>
    <xf borderId="23" fillId="8" fontId="4" numFmtId="0" xfId="0" applyAlignment="1" applyBorder="1" applyFont="1">
      <alignment horizontal="center" readingOrder="1" shrinkToFit="0" vertical="center" wrapText="1"/>
    </xf>
    <xf borderId="32" fillId="8" fontId="4" numFmtId="0" xfId="0" applyAlignment="1" applyBorder="1" applyFont="1">
      <alignment horizontal="center" readingOrder="1" shrinkToFit="0" vertical="center" wrapText="1"/>
    </xf>
    <xf borderId="52" fillId="0" fontId="5" numFmtId="0" xfId="0" applyBorder="1" applyFont="1"/>
    <xf borderId="18" fillId="8" fontId="4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shrinkToFit="0" vertical="center" wrapText="1"/>
    </xf>
    <xf borderId="15" fillId="9" fontId="4" numFmtId="0" xfId="0" applyAlignment="1" applyBorder="1" applyFill="1" applyFont="1">
      <alignment horizontal="center" readingOrder="1" shrinkToFit="0" vertical="center" wrapText="1"/>
    </xf>
    <xf borderId="23" fillId="9" fontId="4" numFmtId="0" xfId="0" applyAlignment="1" applyBorder="1" applyFont="1">
      <alignment horizontal="center" readingOrder="1" shrinkToFit="0" vertical="center" wrapText="1"/>
    </xf>
    <xf borderId="23" fillId="0" fontId="6" numFmtId="0" xfId="0" applyAlignment="1" applyBorder="1" applyFont="1">
      <alignment shrinkToFit="0" wrapText="1"/>
    </xf>
    <xf borderId="15" fillId="10" fontId="4" numFmtId="0" xfId="0" applyAlignment="1" applyBorder="1" applyFill="1" applyFont="1">
      <alignment horizontal="center" readingOrder="1" shrinkToFit="0" vertical="center" wrapText="1"/>
    </xf>
    <xf borderId="23" fillId="10" fontId="4" numFmtId="0" xfId="0" applyAlignment="1" applyBorder="1" applyFont="1">
      <alignment horizontal="center" readingOrder="1" shrinkToFit="0" vertical="center" wrapText="1"/>
    </xf>
    <xf borderId="32" fillId="7" fontId="4" numFmtId="0" xfId="0" applyAlignment="1" applyBorder="1" applyFont="1">
      <alignment horizontal="center" readingOrder="1" shrinkToFit="0" vertical="center" wrapText="1"/>
    </xf>
    <xf borderId="18" fillId="7" fontId="4" numFmtId="0" xfId="0" applyAlignment="1" applyBorder="1" applyFont="1">
      <alignment horizontal="center" readingOrder="1" shrinkToFit="0" vertical="center" wrapText="1"/>
    </xf>
    <xf borderId="53" fillId="0" fontId="5" numFmtId="0" xfId="0" applyBorder="1" applyFont="1"/>
    <xf borderId="54" fillId="6" fontId="6" numFmtId="0" xfId="0" applyAlignment="1" applyBorder="1" applyFont="1">
      <alignment horizontal="right" readingOrder="1" shrinkToFit="0" vertical="center" wrapText="1"/>
    </xf>
    <xf borderId="26" fillId="10" fontId="4" numFmtId="0" xfId="0" applyAlignment="1" applyBorder="1" applyFont="1">
      <alignment horizontal="center" readingOrder="1" shrinkToFit="0" vertical="center" wrapText="1"/>
    </xf>
    <xf borderId="55" fillId="10" fontId="4" numFmtId="0" xfId="0" applyAlignment="1" applyBorder="1" applyFont="1">
      <alignment horizontal="center" readingOrder="1" shrinkToFit="0" vertical="center" wrapText="1"/>
    </xf>
    <xf borderId="55" fillId="9" fontId="4" numFmtId="0" xfId="0" applyAlignment="1" applyBorder="1" applyFont="1">
      <alignment horizontal="center" readingOrder="1" shrinkToFit="0" vertical="center" wrapText="1"/>
    </xf>
    <xf borderId="54" fillId="9" fontId="4" numFmtId="0" xfId="0" applyAlignment="1" applyBorder="1" applyFont="1">
      <alignment horizontal="center" readingOrder="1" shrinkToFit="0" vertical="center" wrapText="1"/>
    </xf>
    <xf borderId="56" fillId="0" fontId="5" numFmtId="0" xfId="0" applyBorder="1" applyFont="1"/>
    <xf borderId="31" fillId="9" fontId="4" numFmtId="0" xfId="0" applyAlignment="1" applyBorder="1" applyFont="1">
      <alignment horizontal="center" readingOrder="1" shrinkToFit="0" vertical="center" wrapText="1"/>
    </xf>
    <xf borderId="57" fillId="4" fontId="6" numFmtId="0" xfId="0" applyBorder="1" applyFont="1"/>
    <xf borderId="11" fillId="0" fontId="8" numFmtId="0" xfId="0" applyAlignment="1" applyBorder="1" applyFont="1">
      <alignment horizontal="center"/>
    </xf>
    <xf borderId="58" fillId="0" fontId="4" numFmtId="0" xfId="0" applyAlignment="1" applyBorder="1" applyFont="1">
      <alignment horizontal="center"/>
    </xf>
    <xf borderId="59" fillId="0" fontId="5" numFmtId="0" xfId="0" applyBorder="1" applyFont="1"/>
    <xf borderId="60" fillId="0" fontId="6" numFmtId="0" xfId="0" applyAlignment="1" applyBorder="1" applyFont="1">
      <alignment horizontal="left" readingOrder="0" vertical="top"/>
    </xf>
    <xf borderId="61" fillId="0" fontId="5" numFmtId="0" xfId="0" applyBorder="1" applyFont="1"/>
    <xf borderId="26" fillId="0" fontId="4" numFmtId="0" xfId="0" applyAlignment="1" applyBorder="1" applyFont="1">
      <alignment horizontal="center"/>
    </xf>
    <xf borderId="62" fillId="0" fontId="5" numFmtId="0" xfId="0" applyBorder="1" applyFont="1"/>
    <xf borderId="31" fillId="0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8" fillId="0" fontId="6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left" shrinkToFit="0" vertical="center" wrapText="1"/>
    </xf>
    <xf borderId="63" fillId="0" fontId="6" numFmtId="0" xfId="0" applyAlignment="1" applyBorder="1" applyFont="1">
      <alignment shrinkToFit="0" vertical="center" wrapText="1"/>
    </xf>
    <xf borderId="63" fillId="0" fontId="6" numFmtId="0" xfId="0" applyAlignment="1" applyBorder="1" applyFont="1">
      <alignment horizontal="left" shrinkToFit="0" vertical="center" wrapText="1"/>
    </xf>
    <xf borderId="64" fillId="0" fontId="5" numFmtId="0" xfId="0" applyBorder="1" applyFont="1"/>
    <xf borderId="65" fillId="0" fontId="6" numFmtId="0" xfId="0" applyAlignment="1" applyBorder="1" applyFont="1">
      <alignment shrinkToFit="0" vertical="center" wrapText="1"/>
    </xf>
    <xf borderId="58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66" fillId="3" fontId="6" numFmtId="0" xfId="0" applyAlignment="1" applyBorder="1" applyFont="1">
      <alignment horizontal="left" shrinkToFit="0" vertical="center" wrapText="1"/>
    </xf>
    <xf borderId="3" fillId="3" fontId="6" numFmtId="0" xfId="0" applyAlignment="1" applyBorder="1" applyFont="1">
      <alignment shrinkToFit="0" vertical="center" wrapText="1"/>
    </xf>
    <xf borderId="67" fillId="3" fontId="6" numFmtId="0" xfId="0" applyAlignment="1" applyBorder="1" applyFont="1">
      <alignment horizontal="center" shrinkToFit="0" vertical="center" wrapText="1"/>
    </xf>
    <xf borderId="68" fillId="3" fontId="6" numFmtId="0" xfId="0" applyAlignment="1" applyBorder="1" applyFont="1">
      <alignment horizontal="left" shrinkToFit="0" vertical="center" wrapText="1"/>
    </xf>
    <xf borderId="69" fillId="0" fontId="5" numFmtId="0" xfId="0" applyBorder="1" applyFont="1"/>
    <xf borderId="70" fillId="3" fontId="6" numFmtId="0" xfId="0" applyAlignment="1" applyBorder="1" applyFont="1">
      <alignment horizontal="left" shrinkToFit="0" vertical="center" wrapText="1"/>
    </xf>
    <xf borderId="70" fillId="3" fontId="6" numFmtId="0" xfId="0" applyAlignment="1" applyBorder="1" applyFont="1">
      <alignment shrinkToFit="0" vertical="center" wrapText="1"/>
    </xf>
    <xf borderId="71" fillId="0" fontId="5" numFmtId="0" xfId="0" applyBorder="1" applyFont="1"/>
    <xf borderId="68" fillId="3" fontId="6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/>
    </xf>
    <xf borderId="3" fillId="4" fontId="6" numFmtId="0" xfId="0" applyBorder="1" applyFont="1"/>
    <xf borderId="55" fillId="0" fontId="4" numFmtId="0" xfId="0" applyAlignment="1" applyBorder="1" applyFont="1">
      <alignment horizontal="center"/>
    </xf>
    <xf borderId="72" fillId="0" fontId="5" numFmtId="0" xfId="0" applyBorder="1" applyFont="1"/>
    <xf borderId="73" fillId="2" fontId="4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66" fillId="3" fontId="6" numFmtId="0" xfId="0" applyAlignment="1" applyBorder="1" applyFont="1">
      <alignment shrinkToFit="0" vertical="center" wrapText="1"/>
    </xf>
    <xf borderId="67" fillId="3" fontId="6" numFmtId="0" xfId="0" applyAlignment="1" applyBorder="1" applyFont="1">
      <alignment horizontal="center" vertical="center"/>
    </xf>
    <xf borderId="74" fillId="0" fontId="5" numFmtId="0" xfId="0" applyBorder="1" applyFont="1"/>
    <xf borderId="11" fillId="9" fontId="4" numFmtId="0" xfId="0" applyAlignment="1" applyBorder="1" applyFont="1">
      <alignment horizontal="center"/>
    </xf>
    <xf borderId="58" fillId="0" fontId="9" numFmtId="0" xfId="0" applyAlignment="1" applyBorder="1" applyFont="1">
      <alignment horizontal="center" shrinkToFit="0" vertical="center" wrapText="1"/>
    </xf>
    <xf borderId="74" fillId="0" fontId="9" numFmtId="0" xfId="0" applyAlignment="1" applyBorder="1" applyFont="1">
      <alignment shrinkToFit="0" vertical="center" wrapText="1"/>
    </xf>
    <xf borderId="59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63" fillId="0" fontId="9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75" fillId="0" fontId="9" numFmtId="0" xfId="0" applyAlignment="1" applyBorder="1" applyFont="1">
      <alignment shrinkToFit="0" vertical="center" wrapText="1"/>
    </xf>
    <xf borderId="65" fillId="0" fontId="6" numFmtId="0" xfId="0" applyBorder="1" applyFont="1"/>
    <xf borderId="6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top" wrapText="1"/>
    </xf>
    <xf borderId="75" fillId="0" fontId="6" numFmtId="0" xfId="0" applyAlignment="1" applyBorder="1" applyFont="1">
      <alignment shrinkToFit="0" vertical="top" wrapText="1"/>
    </xf>
    <xf borderId="74" fillId="0" fontId="11" numFmtId="0" xfId="0" applyAlignment="1" applyBorder="1" applyFont="1">
      <alignment shrinkToFit="0" vertical="center" wrapText="1"/>
    </xf>
    <xf borderId="59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63" fillId="0" fontId="11" numFmtId="0" xfId="0" applyAlignment="1" applyBorder="1" applyFont="1">
      <alignment shrinkToFit="0" vertical="center" wrapText="1"/>
    </xf>
    <xf borderId="75" fillId="0" fontId="11" numFmtId="0" xfId="0" applyAlignment="1" applyBorder="1" applyFont="1">
      <alignment shrinkToFit="0" vertical="center" wrapText="1"/>
    </xf>
    <xf borderId="65" fillId="0" fontId="11" numFmtId="0" xfId="0" applyAlignment="1" applyBorder="1" applyFont="1">
      <alignment shrinkToFit="0" vertical="center" wrapText="1"/>
    </xf>
    <xf borderId="68" fillId="3" fontId="6" numFmtId="0" xfId="0" applyAlignment="1" applyBorder="1" applyFont="1">
      <alignment shrinkToFit="0" wrapText="1"/>
    </xf>
    <xf borderId="70" fillId="3" fontId="6" numFmtId="0" xfId="0" applyAlignment="1" applyBorder="1" applyFont="1">
      <alignment shrinkToFit="0" wrapText="1"/>
    </xf>
    <xf borderId="0" fillId="0" fontId="4" numFmtId="0" xfId="0" applyFont="1"/>
    <xf borderId="28" fillId="4" fontId="4" numFmtId="0" xfId="0" applyAlignment="1" applyBorder="1" applyFont="1">
      <alignment horizontal="center"/>
    </xf>
    <xf borderId="76" fillId="0" fontId="5" numFmtId="0" xfId="0" applyBorder="1" applyFont="1"/>
    <xf borderId="28" fillId="0" fontId="4" numFmtId="0" xfId="0" applyAlignment="1" applyBorder="1" applyFont="1">
      <alignment horizontal="center"/>
    </xf>
    <xf borderId="77" fillId="5" fontId="4" numFmtId="0" xfId="0" applyAlignment="1" applyBorder="1" applyFont="1">
      <alignment horizontal="center" readingOrder="1" shrinkToFit="0" vertical="center" wrapText="1"/>
    </xf>
    <xf borderId="77" fillId="0" fontId="4" numFmtId="0" xfId="0" applyAlignment="1" applyBorder="1" applyFont="1">
      <alignment horizontal="center" vertical="center"/>
    </xf>
    <xf borderId="78" fillId="0" fontId="5" numFmtId="0" xfId="0" applyBorder="1" applyFont="1"/>
    <xf borderId="0" fillId="0" fontId="4" numFmtId="0" xfId="0" applyAlignment="1" applyFont="1">
      <alignment horizontal="center"/>
    </xf>
    <xf borderId="79" fillId="0" fontId="5" numFmtId="0" xfId="0" applyBorder="1" applyFont="1"/>
    <xf borderId="1" fillId="2" fontId="4" numFmtId="0" xfId="0" applyAlignment="1" applyBorder="1" applyFont="1">
      <alignment horizontal="center" readingOrder="1" shrinkToFit="0" vertical="center" wrapText="1"/>
    </xf>
    <xf borderId="80" fillId="0" fontId="5" numFmtId="0" xfId="0" applyBorder="1" applyFont="1"/>
    <xf borderId="81" fillId="3" fontId="6" numFmtId="0" xfId="0" applyAlignment="1" applyBorder="1" applyFont="1">
      <alignment horizontal="center" readingOrder="1" shrinkToFit="0" vertical="center" wrapText="1"/>
    </xf>
    <xf borderId="82" fillId="3" fontId="6" numFmtId="0" xfId="0" applyAlignment="1" applyBorder="1" applyFont="1">
      <alignment horizontal="center" readingOrder="1" shrinkToFit="0" vertical="center" wrapText="1"/>
    </xf>
    <xf borderId="38" fillId="5" fontId="4" numFmtId="0" xfId="0" applyAlignment="1" applyBorder="1" applyFont="1">
      <alignment horizontal="center" readingOrder="1" shrinkToFit="0" textRotation="90" vertical="center" wrapText="1"/>
    </xf>
    <xf borderId="8" fillId="11" fontId="4" numFmtId="0" xfId="0" applyAlignment="1" applyBorder="1" applyFill="1" applyFont="1">
      <alignment horizontal="center" shrinkToFit="0" vertical="center" wrapText="1"/>
    </xf>
    <xf borderId="83" fillId="3" fontId="6" numFmtId="0" xfId="0" applyAlignment="1" applyBorder="1" applyFont="1">
      <alignment horizontal="center" readingOrder="1" shrinkToFit="0" vertical="center" wrapText="1"/>
    </xf>
    <xf borderId="84" fillId="3" fontId="6" numFmtId="0" xfId="0" applyAlignment="1" applyBorder="1" applyFont="1">
      <alignment horizontal="center" readingOrder="1" shrinkToFit="0" vertical="center" wrapText="1"/>
    </xf>
    <xf borderId="51" fillId="0" fontId="5" numFmtId="0" xfId="0" applyBorder="1" applyFont="1"/>
    <xf borderId="15" fillId="11" fontId="4" numFmtId="0" xfId="0" applyAlignment="1" applyBorder="1" applyFont="1">
      <alignment horizontal="center" readingOrder="1" shrinkToFit="0" vertical="center" wrapText="1"/>
    </xf>
    <xf borderId="23" fillId="11" fontId="4" numFmtId="0" xfId="0" applyAlignment="1" applyBorder="1" applyFont="1">
      <alignment horizontal="center" readingOrder="1" shrinkToFit="0" vertical="center" wrapText="1"/>
    </xf>
    <xf borderId="18" fillId="11" fontId="4" numFmtId="0" xfId="0" applyAlignment="1" applyBorder="1" applyFont="1">
      <alignment horizontal="center" readingOrder="1" shrinkToFit="0" vertical="center" wrapText="1"/>
    </xf>
    <xf borderId="85" fillId="3" fontId="6" numFmtId="0" xfId="0" applyAlignment="1" applyBorder="1" applyFont="1">
      <alignment horizontal="center" readingOrder="1" shrinkToFit="0" vertical="center" wrapText="1"/>
    </xf>
    <xf borderId="86" fillId="3" fontId="6" numFmtId="0" xfId="0" applyAlignment="1" applyBorder="1" applyFont="1">
      <alignment horizontal="center" readingOrder="1" shrinkToFit="0" vertical="center" wrapText="1"/>
    </xf>
    <xf borderId="87" fillId="0" fontId="5" numFmtId="0" xfId="0" applyBorder="1" applyFont="1"/>
    <xf borderId="3" fillId="3" fontId="6" numFmtId="0" xfId="0" applyAlignment="1" applyBorder="1" applyFont="1">
      <alignment horizontal="center" readingOrder="1" shrinkToFit="0" vertical="center" wrapText="1"/>
    </xf>
    <xf borderId="88" fillId="9" fontId="4" numFmtId="0" xfId="0" applyAlignment="1" applyBorder="1" applyFont="1">
      <alignment horizontal="center" readingOrder="1" shrinkToFit="0" vertical="center" wrapText="1"/>
    </xf>
    <xf borderId="89" fillId="0" fontId="5" numFmtId="0" xfId="0" applyBorder="1" applyFont="1"/>
    <xf borderId="90" fillId="0" fontId="5" numFmtId="0" xfId="0" applyBorder="1" applyFont="1"/>
    <xf borderId="0" fillId="0" fontId="6" numFmtId="164" xfId="0" applyFont="1" applyNumberFormat="1"/>
    <xf borderId="23" fillId="4" fontId="4" numFmtId="0" xfId="0" applyAlignment="1" applyBorder="1" applyFont="1">
      <alignment horizontal="center" readingOrder="1" shrinkToFit="0" vertical="center" wrapText="1"/>
    </xf>
    <xf borderId="66" fillId="3" fontId="6" numFmtId="0" xfId="0" applyAlignment="1" applyBorder="1" applyFont="1">
      <alignment vertical="center"/>
    </xf>
    <xf borderId="23" fillId="0" fontId="12" numFmtId="0" xfId="0" applyAlignment="1" applyBorder="1" applyFont="1">
      <alignment horizontal="center" readingOrder="1" shrinkToFit="0" vertical="center" wrapText="1"/>
    </xf>
    <xf borderId="23" fillId="0" fontId="13" numFmtId="0" xfId="0" applyAlignment="1" applyBorder="1" applyFont="1">
      <alignment horizontal="center" readingOrder="1" shrinkToFit="0" vertical="center" wrapText="1"/>
    </xf>
    <xf borderId="23" fillId="0" fontId="13" numFmtId="0" xfId="0" applyAlignment="1" applyBorder="1" applyFont="1">
      <alignment horizontal="left" readingOrder="1" shrinkToFit="0" vertical="center" wrapText="1"/>
    </xf>
    <xf borderId="23" fillId="0" fontId="4" numFmtId="0" xfId="0" applyAlignment="1" applyBorder="1" applyFont="1">
      <alignment horizontal="center" readingOrder="1" shrinkToFit="0" vertical="center" wrapText="1"/>
    </xf>
    <xf borderId="28" fillId="9" fontId="4" numFmtId="0" xfId="0" applyAlignment="1" applyBorder="1" applyFont="1">
      <alignment horizontal="center"/>
    </xf>
    <xf borderId="23" fillId="6" fontId="8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0" fillId="0" fontId="6" numFmtId="0" xfId="0" applyAlignment="1" applyFont="1">
      <alignment horizontal="left" readingOrder="1" shrinkToFit="0" wrapText="1"/>
    </xf>
    <xf borderId="0" fillId="0" fontId="6" numFmtId="0" xfId="0" applyAlignment="1" applyFont="1">
      <alignment horizontal="center" readingOrder="1" shrinkToFit="0" wrapText="1"/>
    </xf>
    <xf borderId="0" fillId="0" fontId="4" numFmtId="0" xfId="0" applyAlignment="1" applyFont="1">
      <alignment horizontal="left" readingOrder="1" shrinkToFit="0" textRotation="90" vertical="center" wrapText="1"/>
    </xf>
    <xf borderId="0" fillId="0" fontId="6" numFmtId="0" xfId="0" applyAlignment="1" applyFont="1">
      <alignment horizontal="right" readingOrder="1" shrinkToFit="0" vertical="center" wrapText="1"/>
    </xf>
    <xf borderId="0" fillId="0" fontId="4" numFmtId="0" xfId="0" applyAlignment="1" applyFont="1">
      <alignment horizontal="center" readingOrder="1" shrinkToFit="0" vertical="center" wrapText="1"/>
    </xf>
    <xf borderId="0" fillId="0" fontId="14" numFmtId="0" xfId="0" applyAlignment="1" applyFont="1">
      <alignment horizontal="center" readingOrder="1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shrinkToFit="0" wrapText="1"/>
    </xf>
    <xf borderId="59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15" numFmtId="0" xfId="0" applyFont="1"/>
    <xf borderId="1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23" fillId="4" fontId="6" numFmtId="0" xfId="0" applyAlignment="1" applyBorder="1" applyFont="1">
      <alignment horizontal="center"/>
    </xf>
    <xf borderId="23" fillId="6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23" fillId="6" fontId="6" numFmtId="0" xfId="0" applyBorder="1" applyFont="1"/>
    <xf borderId="51" fillId="0" fontId="6" numFmtId="0" xfId="0" applyBorder="1" applyFont="1"/>
    <xf borderId="23" fillId="0" fontId="13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32" fillId="9" fontId="6" numFmtId="0" xfId="0" applyBorder="1" applyFont="1"/>
    <xf borderId="23" fillId="3" fontId="6" numFmtId="0" xfId="0" applyBorder="1" applyFont="1"/>
    <xf borderId="23" fillId="9" fontId="6" numFmtId="0" xfId="0" applyBorder="1" applyFont="1"/>
    <xf borderId="51" fillId="0" fontId="6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57150</xdr:rowOff>
    </xdr:from>
    <xdr:ext cx="244792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266700</xdr:colOff>
      <xdr:row>11</xdr:row>
      <xdr:rowOff>66675</xdr:rowOff>
    </xdr:from>
    <xdr:ext cx="3933825" cy="2990850"/>
    <xdr:grpSp>
      <xdr:nvGrpSpPr>
        <xdr:cNvPr id="2" name="Shape 2"/>
        <xdr:cNvGrpSpPr/>
      </xdr:nvGrpSpPr>
      <xdr:grpSpPr>
        <a:xfrm>
          <a:off x="3393375" y="2298863"/>
          <a:ext cx="3905250" cy="2962275"/>
          <a:chOff x="3393375" y="2298863"/>
          <a:chExt cx="3905250" cy="2962275"/>
        </a:xfrm>
      </xdr:grpSpPr>
      <xdr:cxnSp>
        <xdr:nvCxnSpPr>
          <xdr:cNvPr id="3" name="Shape 3"/>
          <xdr:cNvCxnSpPr/>
        </xdr:nvCxnSpPr>
        <xdr:spPr>
          <a:xfrm>
            <a:off x="3393375" y="2298863"/>
            <a:ext cx="3905250" cy="2962275"/>
          </a:xfrm>
          <a:prstGeom prst="straightConnector1">
            <a:avLst/>
          </a:prstGeom>
          <a:noFill/>
          <a:ln cap="flat" cmpd="sng" w="28575">
            <a:solidFill>
              <a:schemeClr val="accent1"/>
            </a:solidFill>
            <a:prstDash val="solid"/>
            <a:miter lim="8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2.71"/>
    <col customWidth="1" min="3" max="3" width="77.86"/>
    <col customWidth="1" min="4" max="26" width="10.71"/>
  </cols>
  <sheetData>
    <row r="1" ht="14.25" customHeight="1">
      <c r="B1" s="2" t="s">
        <v>1</v>
      </c>
    </row>
    <row r="2" ht="15.0" customHeight="1">
      <c r="A2" s="2"/>
      <c r="B2" s="3" t="s">
        <v>3</v>
      </c>
      <c r="C2" s="3" t="s">
        <v>4</v>
      </c>
    </row>
    <row r="3" ht="14.25" customHeight="1">
      <c r="B3" s="3" t="s">
        <v>5</v>
      </c>
      <c r="C3" s="3" t="s">
        <v>6</v>
      </c>
    </row>
    <row r="4" ht="14.25" customHeight="1">
      <c r="B4" s="7" t="s">
        <v>7</v>
      </c>
      <c r="C4" s="10"/>
    </row>
    <row r="5" ht="14.25" customHeight="1"/>
    <row r="6" ht="14.25" customHeight="1">
      <c r="B6" s="12" t="s">
        <v>17</v>
      </c>
      <c r="C6" s="15" t="s">
        <v>21</v>
      </c>
    </row>
    <row r="7" ht="14.25" customHeight="1">
      <c r="B7" s="20" t="s">
        <v>24</v>
      </c>
      <c r="C7" s="23" t="s">
        <v>29</v>
      </c>
    </row>
    <row r="8" ht="14.25" customHeight="1">
      <c r="B8" s="20" t="s">
        <v>32</v>
      </c>
      <c r="C8" s="23">
        <v>160.0</v>
      </c>
    </row>
    <row r="9" ht="14.25" customHeight="1">
      <c r="B9" s="26" t="s">
        <v>33</v>
      </c>
      <c r="C9" s="30">
        <v>2009.0</v>
      </c>
    </row>
    <row r="10" ht="216.75" customHeight="1">
      <c r="B10" s="33" t="s">
        <v>56</v>
      </c>
      <c r="C10" s="39" t="s">
        <v>58</v>
      </c>
      <c r="D10" s="39" t="s">
        <v>60</v>
      </c>
      <c r="E10" s="39" t="s">
        <v>60</v>
      </c>
      <c r="F10" s="39" t="s">
        <v>60</v>
      </c>
      <c r="I10" s="42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39.57"/>
    <col customWidth="1" min="3" max="3" width="27.71"/>
    <col customWidth="1" min="4" max="4" width="26.57"/>
    <col customWidth="1" min="5" max="5" width="15.29"/>
    <col customWidth="1" min="6" max="6" width="13.29"/>
    <col customWidth="1" min="7" max="7" width="9.86"/>
    <col customWidth="1" min="8" max="9" width="9.29"/>
    <col customWidth="1" min="10" max="10" width="24.29"/>
    <col customWidth="1" min="11" max="11" width="60.86"/>
    <col customWidth="1" min="12" max="12" width="21.71"/>
    <col customWidth="1" min="13" max="13" width="26.86"/>
    <col customWidth="1" min="14" max="16" width="10.71"/>
    <col customWidth="1" min="17" max="17" width="17.86"/>
    <col customWidth="1" min="18" max="18" width="14.71"/>
    <col customWidth="1" min="19" max="19" width="14.29"/>
    <col customWidth="1" min="20" max="20" width="13.71"/>
    <col customWidth="1" min="21" max="21" width="21.14"/>
    <col customWidth="1" min="22" max="22" width="19.71"/>
    <col customWidth="1" min="23" max="23" width="17.0"/>
    <col customWidth="1" min="24" max="24" width="20.71"/>
    <col customWidth="1" min="25" max="25" width="11.14"/>
    <col customWidth="1" min="26" max="26" width="15.29"/>
    <col customWidth="1" min="27" max="27" width="34.29"/>
    <col customWidth="1" min="28" max="28" width="13.0"/>
    <col customWidth="1" min="29" max="29" width="15.71"/>
    <col customWidth="1" min="30" max="31" width="10.71"/>
    <col customWidth="1" min="32" max="32" width="14.29"/>
    <col customWidth="1" min="33" max="33" width="10.71"/>
    <col customWidth="1" min="34" max="34" width="21.14"/>
    <col customWidth="1" min="35" max="35" width="10.71"/>
    <col customWidth="1" min="36" max="36" width="61.0"/>
  </cols>
  <sheetData>
    <row r="1" ht="14.25" customHeight="1">
      <c r="A1" s="1" t="s">
        <v>0</v>
      </c>
      <c r="B1" s="1"/>
      <c r="C1" s="1"/>
    </row>
    <row r="2" ht="14.25" customHeight="1"/>
    <row r="3" ht="14.25" customHeight="1">
      <c r="A3" s="4" t="s">
        <v>2</v>
      </c>
      <c r="B3" s="5"/>
      <c r="C3" s="5"/>
      <c r="D3" s="5"/>
      <c r="E3" s="5"/>
      <c r="F3" s="5"/>
      <c r="G3" s="5"/>
      <c r="H3" s="8"/>
      <c r="I3" s="4" t="s">
        <v>9</v>
      </c>
      <c r="J3" s="5"/>
      <c r="K3" s="8"/>
      <c r="L3" s="4" t="s">
        <v>10</v>
      </c>
      <c r="M3" s="5"/>
      <c r="N3" s="5"/>
      <c r="O3" s="5"/>
      <c r="P3" s="5"/>
      <c r="Q3" s="5"/>
      <c r="R3" s="5"/>
      <c r="S3" s="5"/>
      <c r="T3" s="8"/>
      <c r="U3" s="4" t="s">
        <v>11</v>
      </c>
      <c r="V3" s="5"/>
      <c r="W3" s="5"/>
      <c r="X3" s="5"/>
      <c r="Y3" s="8"/>
      <c r="Z3" s="4" t="s">
        <v>12</v>
      </c>
      <c r="AA3" s="5"/>
      <c r="AB3" s="5"/>
      <c r="AC3" s="5"/>
      <c r="AD3" s="5"/>
      <c r="AE3" s="5"/>
      <c r="AF3" s="5"/>
      <c r="AG3" s="5"/>
      <c r="AH3" s="5"/>
      <c r="AI3" s="8"/>
    </row>
    <row r="4" ht="14.25" customHeight="1">
      <c r="A4" s="4" t="s">
        <v>13</v>
      </c>
      <c r="B4" s="5"/>
      <c r="C4" s="5"/>
      <c r="D4" s="8"/>
      <c r="E4" s="4" t="s">
        <v>14</v>
      </c>
      <c r="F4" s="5"/>
      <c r="G4" s="5"/>
      <c r="H4" s="8"/>
      <c r="I4" s="4" t="s">
        <v>15</v>
      </c>
      <c r="J4" s="5"/>
      <c r="K4" s="8"/>
      <c r="L4" s="4" t="s">
        <v>16</v>
      </c>
      <c r="M4" s="5"/>
      <c r="N4" s="5"/>
      <c r="O4" s="5"/>
      <c r="P4" s="8"/>
      <c r="Q4" s="4" t="s">
        <v>18</v>
      </c>
      <c r="R4" s="5"/>
      <c r="S4" s="8"/>
      <c r="T4" s="14" t="s">
        <v>20</v>
      </c>
      <c r="U4" s="4" t="s">
        <v>23</v>
      </c>
      <c r="V4" s="18"/>
      <c r="W4" s="19" t="s">
        <v>25</v>
      </c>
      <c r="X4" s="4" t="s">
        <v>26</v>
      </c>
      <c r="Y4" s="8"/>
      <c r="Z4" s="4" t="s">
        <v>27</v>
      </c>
      <c r="AA4" s="8"/>
      <c r="AB4" s="22" t="s">
        <v>28</v>
      </c>
      <c r="AC4" s="5"/>
      <c r="AD4" s="5"/>
      <c r="AE4" s="18"/>
      <c r="AF4" s="4" t="s">
        <v>31</v>
      </c>
      <c r="AG4" s="5"/>
      <c r="AH4" s="5"/>
      <c r="AI4" s="8"/>
    </row>
    <row r="5" ht="14.25" customHeight="1">
      <c r="A5" s="25" t="s">
        <v>34</v>
      </c>
      <c r="B5" s="25" t="s">
        <v>35</v>
      </c>
      <c r="C5" s="28" t="s">
        <v>36</v>
      </c>
      <c r="D5" s="28" t="s">
        <v>38</v>
      </c>
      <c r="E5" s="29" t="s">
        <v>39</v>
      </c>
      <c r="F5" s="29" t="s">
        <v>40</v>
      </c>
      <c r="G5" s="29" t="s">
        <v>41</v>
      </c>
      <c r="H5" s="29" t="s">
        <v>42</v>
      </c>
      <c r="I5" s="29" t="s">
        <v>43</v>
      </c>
      <c r="J5" s="25" t="s">
        <v>44</v>
      </c>
      <c r="K5" s="25" t="s">
        <v>45</v>
      </c>
      <c r="L5" s="29" t="s">
        <v>46</v>
      </c>
      <c r="M5" s="25" t="s">
        <v>47</v>
      </c>
      <c r="N5" s="25" t="s">
        <v>48</v>
      </c>
      <c r="O5" s="25" t="s">
        <v>49</v>
      </c>
      <c r="P5" s="25" t="s">
        <v>50</v>
      </c>
      <c r="Q5" s="25" t="s">
        <v>51</v>
      </c>
      <c r="R5" s="25" t="s">
        <v>52</v>
      </c>
      <c r="S5" s="25" t="s">
        <v>53</v>
      </c>
      <c r="T5" s="32" t="s">
        <v>54</v>
      </c>
      <c r="U5" s="35" t="s">
        <v>57</v>
      </c>
      <c r="V5" s="40" t="s">
        <v>59</v>
      </c>
      <c r="W5" s="40" t="s">
        <v>61</v>
      </c>
      <c r="X5" s="43" t="s">
        <v>62</v>
      </c>
      <c r="Y5" s="40" t="s">
        <v>63</v>
      </c>
      <c r="Z5" s="40" t="s">
        <v>64</v>
      </c>
      <c r="AA5" s="40" t="s">
        <v>65</v>
      </c>
      <c r="AB5" s="40" t="s">
        <v>66</v>
      </c>
      <c r="AC5" s="40" t="s">
        <v>67</v>
      </c>
      <c r="AD5" s="40" t="s">
        <v>68</v>
      </c>
      <c r="AE5" s="40" t="s">
        <v>69</v>
      </c>
      <c r="AF5" s="45" t="s">
        <v>70</v>
      </c>
      <c r="AG5" s="45" t="s">
        <v>71</v>
      </c>
      <c r="AH5" s="45" t="s">
        <v>72</v>
      </c>
      <c r="AI5" s="25" t="s">
        <v>73</v>
      </c>
      <c r="AJ5" s="35" t="s">
        <v>74</v>
      </c>
    </row>
    <row r="6" ht="20.25" customHeight="1">
      <c r="A6" s="50" t="s">
        <v>77</v>
      </c>
      <c r="B6" s="50" t="s">
        <v>83</v>
      </c>
      <c r="C6" s="53" t="s">
        <v>84</v>
      </c>
      <c r="D6" s="50" t="s">
        <v>90</v>
      </c>
      <c r="E6" s="53" t="s">
        <v>91</v>
      </c>
      <c r="F6" s="53" t="s">
        <v>91</v>
      </c>
      <c r="G6" s="53" t="s">
        <v>91</v>
      </c>
      <c r="H6" s="53" t="s">
        <v>91</v>
      </c>
      <c r="I6" s="53" t="s">
        <v>88</v>
      </c>
      <c r="J6" s="53" t="s">
        <v>92</v>
      </c>
      <c r="K6" s="50" t="s">
        <v>93</v>
      </c>
      <c r="L6" s="53" t="s">
        <v>95</v>
      </c>
      <c r="M6" s="53" t="s">
        <v>97</v>
      </c>
      <c r="N6" s="53" t="s">
        <v>98</v>
      </c>
      <c r="O6" s="53">
        <v>4.0</v>
      </c>
      <c r="P6" s="53" t="s">
        <v>100</v>
      </c>
      <c r="Q6" s="50" t="s">
        <v>101</v>
      </c>
      <c r="R6" s="53">
        <v>5.0</v>
      </c>
      <c r="S6" s="53" t="s">
        <v>100</v>
      </c>
      <c r="T6" s="53">
        <f t="shared" ref="T6:T9" si="1">ROUND((O6+R6)/2,0)</f>
        <v>5</v>
      </c>
      <c r="U6" s="50" t="s">
        <v>109</v>
      </c>
      <c r="V6" s="59" t="s">
        <v>112</v>
      </c>
      <c r="W6" s="53">
        <v>5.0</v>
      </c>
      <c r="X6" s="53">
        <f t="shared" ref="X6:X10" si="2">T6*W6</f>
        <v>25</v>
      </c>
      <c r="Y6" s="3" t="s">
        <v>113</v>
      </c>
      <c r="Z6" s="53" t="s">
        <v>114</v>
      </c>
      <c r="AA6" s="64" t="s">
        <v>115</v>
      </c>
      <c r="AB6" s="53" t="s">
        <v>117</v>
      </c>
      <c r="AC6" s="53" t="s">
        <v>118</v>
      </c>
      <c r="AD6" s="66">
        <v>0.9</v>
      </c>
      <c r="AE6" s="66">
        <v>0.1</v>
      </c>
      <c r="AF6" s="53">
        <v>1.0</v>
      </c>
      <c r="AG6" s="53">
        <v>4.0</v>
      </c>
      <c r="AH6" s="53">
        <f t="shared" ref="AH6:AH11" si="3">AF6*AG6</f>
        <v>4</v>
      </c>
      <c r="AI6" s="53" t="s">
        <v>102</v>
      </c>
      <c r="AJ6" s="50" t="s">
        <v>119</v>
      </c>
    </row>
    <row r="7" ht="14.25" customHeight="1">
      <c r="A7" s="50" t="s">
        <v>77</v>
      </c>
      <c r="B7" s="50" t="s">
        <v>120</v>
      </c>
      <c r="C7" s="53" t="s">
        <v>84</v>
      </c>
      <c r="D7" s="50" t="s">
        <v>90</v>
      </c>
      <c r="E7" s="53" t="s">
        <v>91</v>
      </c>
      <c r="F7" s="53" t="s">
        <v>91</v>
      </c>
      <c r="G7" s="53" t="s">
        <v>91</v>
      </c>
      <c r="H7" s="53" t="s">
        <v>91</v>
      </c>
      <c r="I7" s="53" t="s">
        <v>121</v>
      </c>
      <c r="J7" s="53" t="s">
        <v>123</v>
      </c>
      <c r="K7" s="50" t="s">
        <v>124</v>
      </c>
      <c r="L7" s="53" t="s">
        <v>125</v>
      </c>
      <c r="M7" s="53" t="s">
        <v>126</v>
      </c>
      <c r="N7" s="53" t="s">
        <v>98</v>
      </c>
      <c r="O7" s="53">
        <v>5.0</v>
      </c>
      <c r="P7" s="53" t="s">
        <v>100</v>
      </c>
      <c r="Q7" s="53" t="s">
        <v>127</v>
      </c>
      <c r="R7" s="53">
        <v>4.0</v>
      </c>
      <c r="S7" s="53" t="s">
        <v>100</v>
      </c>
      <c r="T7" s="53">
        <f t="shared" si="1"/>
        <v>5</v>
      </c>
      <c r="U7" s="53" t="s">
        <v>128</v>
      </c>
      <c r="V7" s="68" t="s">
        <v>129</v>
      </c>
      <c r="W7" s="53">
        <v>5.0</v>
      </c>
      <c r="X7" s="53">
        <f t="shared" si="2"/>
        <v>25</v>
      </c>
      <c r="Y7" s="53" t="s">
        <v>132</v>
      </c>
      <c r="Z7" s="53" t="s">
        <v>114</v>
      </c>
      <c r="AA7" s="64" t="s">
        <v>133</v>
      </c>
      <c r="AB7" s="53" t="s">
        <v>117</v>
      </c>
      <c r="AC7" s="53" t="s">
        <v>118</v>
      </c>
      <c r="AD7" s="66">
        <v>0.9</v>
      </c>
      <c r="AE7" s="66">
        <v>0.1</v>
      </c>
      <c r="AF7" s="53">
        <v>1.0</v>
      </c>
      <c r="AG7" s="53">
        <v>4.0</v>
      </c>
      <c r="AH7" s="53">
        <f t="shared" si="3"/>
        <v>4</v>
      </c>
      <c r="AI7" s="53" t="s">
        <v>100</v>
      </c>
      <c r="AJ7" s="50" t="s">
        <v>134</v>
      </c>
    </row>
    <row r="8" ht="14.25" customHeight="1">
      <c r="A8" s="50" t="s">
        <v>77</v>
      </c>
      <c r="B8" s="50" t="s">
        <v>120</v>
      </c>
      <c r="C8" s="53" t="s">
        <v>135</v>
      </c>
      <c r="D8" s="50" t="s">
        <v>90</v>
      </c>
      <c r="E8" s="53" t="s">
        <v>91</v>
      </c>
      <c r="F8" s="53" t="s">
        <v>91</v>
      </c>
      <c r="G8" s="53" t="s">
        <v>91</v>
      </c>
      <c r="H8" s="53" t="s">
        <v>91</v>
      </c>
      <c r="I8" s="53" t="s">
        <v>130</v>
      </c>
      <c r="J8" s="53" t="s">
        <v>136</v>
      </c>
      <c r="K8" s="77" t="s">
        <v>137</v>
      </c>
      <c r="L8" s="53" t="s">
        <v>139</v>
      </c>
      <c r="M8" s="53" t="s">
        <v>140</v>
      </c>
      <c r="N8" s="53" t="s">
        <v>141</v>
      </c>
      <c r="O8" s="53">
        <v>4.0</v>
      </c>
      <c r="P8" s="53" t="s">
        <v>100</v>
      </c>
      <c r="Q8" s="50" t="s">
        <v>142</v>
      </c>
      <c r="R8" s="53">
        <v>4.0</v>
      </c>
      <c r="S8" s="53" t="s">
        <v>100</v>
      </c>
      <c r="T8" s="53">
        <f t="shared" si="1"/>
        <v>4</v>
      </c>
      <c r="U8" s="50" t="s">
        <v>143</v>
      </c>
      <c r="V8" s="59" t="s">
        <v>144</v>
      </c>
      <c r="W8" s="53">
        <v>5.0</v>
      </c>
      <c r="X8" s="53">
        <f t="shared" si="2"/>
        <v>20</v>
      </c>
      <c r="Y8" s="53" t="s">
        <v>113</v>
      </c>
      <c r="Z8" s="53" t="s">
        <v>114</v>
      </c>
      <c r="AA8" s="64" t="s">
        <v>146</v>
      </c>
      <c r="AB8" s="53" t="s">
        <v>147</v>
      </c>
      <c r="AC8" s="53" t="s">
        <v>148</v>
      </c>
      <c r="AD8" s="66">
        <v>0.9</v>
      </c>
      <c r="AE8" s="66">
        <v>0.1</v>
      </c>
      <c r="AF8" s="53">
        <v>1.0</v>
      </c>
      <c r="AG8" s="53">
        <v>4.0</v>
      </c>
      <c r="AH8" s="53">
        <f t="shared" si="3"/>
        <v>4</v>
      </c>
      <c r="AI8" s="53" t="s">
        <v>149</v>
      </c>
      <c r="AJ8" s="50" t="s">
        <v>150</v>
      </c>
    </row>
    <row r="9" ht="14.25" customHeight="1">
      <c r="A9" s="53" t="s">
        <v>152</v>
      </c>
      <c r="B9" s="53" t="s">
        <v>153</v>
      </c>
      <c r="C9" s="53" t="s">
        <v>154</v>
      </c>
      <c r="D9" s="53" t="s">
        <v>155</v>
      </c>
      <c r="E9" s="53" t="s">
        <v>91</v>
      </c>
      <c r="F9" s="53" t="s">
        <v>91</v>
      </c>
      <c r="G9" s="53" t="s">
        <v>91</v>
      </c>
      <c r="H9" s="53" t="s">
        <v>91</v>
      </c>
      <c r="I9" s="53" t="s">
        <v>156</v>
      </c>
      <c r="J9" s="84" t="s">
        <v>157</v>
      </c>
      <c r="K9" s="50" t="s">
        <v>159</v>
      </c>
      <c r="L9" s="53" t="s">
        <v>125</v>
      </c>
      <c r="M9" s="53" t="s">
        <v>160</v>
      </c>
      <c r="N9" s="53" t="s">
        <v>98</v>
      </c>
      <c r="O9" s="53">
        <v>4.0</v>
      </c>
      <c r="P9" s="53" t="s">
        <v>100</v>
      </c>
      <c r="Q9" s="50" t="s">
        <v>161</v>
      </c>
      <c r="R9" s="53">
        <v>4.0</v>
      </c>
      <c r="S9" s="53" t="s">
        <v>100</v>
      </c>
      <c r="T9" s="53">
        <f t="shared" si="1"/>
        <v>4</v>
      </c>
      <c r="U9" s="53" t="s">
        <v>162</v>
      </c>
      <c r="V9" s="53" t="s">
        <v>163</v>
      </c>
      <c r="W9" s="53">
        <v>4.0</v>
      </c>
      <c r="X9" s="53">
        <f t="shared" si="2"/>
        <v>16</v>
      </c>
      <c r="Y9" s="53" t="s">
        <v>132</v>
      </c>
      <c r="Z9" s="87" t="s">
        <v>114</v>
      </c>
      <c r="AA9" s="64" t="s">
        <v>166</v>
      </c>
      <c r="AB9" s="53" t="s">
        <v>117</v>
      </c>
      <c r="AC9" s="53" t="s">
        <v>118</v>
      </c>
      <c r="AD9" s="66">
        <v>0.8</v>
      </c>
      <c r="AE9" s="66">
        <v>0.2</v>
      </c>
      <c r="AF9" s="53">
        <v>2.0</v>
      </c>
      <c r="AG9" s="53">
        <v>3.0</v>
      </c>
      <c r="AH9" s="53">
        <f t="shared" si="3"/>
        <v>6</v>
      </c>
      <c r="AI9" s="53" t="s">
        <v>167</v>
      </c>
      <c r="AJ9" s="50" t="s">
        <v>168</v>
      </c>
    </row>
    <row r="10" ht="14.25" customHeight="1">
      <c r="A10" s="53" t="s">
        <v>152</v>
      </c>
      <c r="B10" s="53" t="s">
        <v>153</v>
      </c>
      <c r="C10" s="53" t="s">
        <v>154</v>
      </c>
      <c r="D10" s="53" t="s">
        <v>155</v>
      </c>
      <c r="E10" s="53" t="s">
        <v>91</v>
      </c>
      <c r="F10" s="53" t="s">
        <v>169</v>
      </c>
      <c r="G10" s="53" t="s">
        <v>87</v>
      </c>
      <c r="H10" s="53" t="s">
        <v>169</v>
      </c>
      <c r="I10" s="53" t="s">
        <v>170</v>
      </c>
      <c r="J10" s="84" t="s">
        <v>171</v>
      </c>
      <c r="K10" s="53" t="s">
        <v>172</v>
      </c>
      <c r="L10" s="53" t="s">
        <v>173</v>
      </c>
      <c r="M10" s="53" t="s">
        <v>174</v>
      </c>
      <c r="N10" s="53" t="s">
        <v>98</v>
      </c>
      <c r="O10" s="53">
        <v>4.0</v>
      </c>
      <c r="P10" s="53" t="s">
        <v>102</v>
      </c>
      <c r="Q10" s="53" t="s">
        <v>175</v>
      </c>
      <c r="R10" s="53">
        <v>4.0</v>
      </c>
      <c r="S10" s="53" t="s">
        <v>102</v>
      </c>
      <c r="T10" s="53">
        <v>4.0</v>
      </c>
      <c r="U10" s="50" t="s">
        <v>177</v>
      </c>
      <c r="V10" s="53" t="s">
        <v>178</v>
      </c>
      <c r="W10" s="53">
        <v>4.0</v>
      </c>
      <c r="X10" s="53">
        <f t="shared" si="2"/>
        <v>16</v>
      </c>
      <c r="Y10" s="53" t="s">
        <v>106</v>
      </c>
      <c r="Z10" s="53" t="s">
        <v>107</v>
      </c>
      <c r="AA10" s="53" t="s">
        <v>179</v>
      </c>
      <c r="AB10" s="53" t="s">
        <v>110</v>
      </c>
      <c r="AC10" s="53" t="s">
        <v>111</v>
      </c>
      <c r="AD10" s="66">
        <v>0.8</v>
      </c>
      <c r="AE10" s="66">
        <v>0.2</v>
      </c>
      <c r="AF10" s="53">
        <v>2.0</v>
      </c>
      <c r="AG10" s="53">
        <v>2.0</v>
      </c>
      <c r="AH10" s="53">
        <f t="shared" si="3"/>
        <v>4</v>
      </c>
      <c r="AI10" s="53" t="s">
        <v>180</v>
      </c>
      <c r="AJ10" s="53" t="s">
        <v>181</v>
      </c>
    </row>
    <row r="11" ht="14.25" customHeight="1">
      <c r="A11" s="53" t="s">
        <v>152</v>
      </c>
      <c r="B11" s="53" t="s">
        <v>153</v>
      </c>
      <c r="C11" s="53" t="s">
        <v>154</v>
      </c>
      <c r="D11" s="53" t="s">
        <v>155</v>
      </c>
      <c r="E11" s="53" t="s">
        <v>87</v>
      </c>
      <c r="F11" s="53" t="s">
        <v>169</v>
      </c>
      <c r="G11" s="53" t="s">
        <v>87</v>
      </c>
      <c r="H11" s="53" t="s">
        <v>87</v>
      </c>
      <c r="I11" s="53" t="s">
        <v>182</v>
      </c>
      <c r="J11" s="53" t="s">
        <v>184</v>
      </c>
      <c r="K11" s="53" t="s">
        <v>185</v>
      </c>
      <c r="L11" s="53" t="s">
        <v>186</v>
      </c>
      <c r="M11" s="53" t="s">
        <v>187</v>
      </c>
      <c r="N11" s="53" t="s">
        <v>98</v>
      </c>
      <c r="O11" s="53">
        <v>4.0</v>
      </c>
      <c r="P11" s="53" t="s">
        <v>102</v>
      </c>
      <c r="Q11" s="53" t="s">
        <v>190</v>
      </c>
      <c r="R11" s="53">
        <v>4.0</v>
      </c>
      <c r="S11" s="53" t="s">
        <v>102</v>
      </c>
      <c r="T11" s="53">
        <f>ROUND((O11+R11)/2,0)</f>
        <v>4</v>
      </c>
      <c r="U11" s="53" t="s">
        <v>194</v>
      </c>
      <c r="V11" s="53" t="s">
        <v>195</v>
      </c>
      <c r="W11" s="53">
        <v>4.0</v>
      </c>
      <c r="X11" s="53">
        <v>16.0</v>
      </c>
      <c r="Y11" s="53" t="s">
        <v>106</v>
      </c>
      <c r="Z11" s="53" t="s">
        <v>107</v>
      </c>
      <c r="AA11" s="53" t="s">
        <v>197</v>
      </c>
      <c r="AB11" s="53" t="s">
        <v>110</v>
      </c>
      <c r="AC11" s="53" t="s">
        <v>111</v>
      </c>
      <c r="AD11" s="66">
        <v>0.8</v>
      </c>
      <c r="AE11" s="66">
        <v>0.2</v>
      </c>
      <c r="AF11" s="53">
        <v>2.0</v>
      </c>
      <c r="AG11" s="53">
        <v>3.0</v>
      </c>
      <c r="AH11" s="53">
        <f t="shared" si="3"/>
        <v>6</v>
      </c>
      <c r="AI11" s="53" t="s">
        <v>199</v>
      </c>
      <c r="AJ11" s="53" t="s">
        <v>200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I4:K4"/>
    <mergeCell ref="L4:P4"/>
    <mergeCell ref="Q4:S4"/>
    <mergeCell ref="U4:V4"/>
    <mergeCell ref="X4:Y4"/>
    <mergeCell ref="Z4:AA4"/>
    <mergeCell ref="AB4:AE4"/>
    <mergeCell ref="AF4:AI4"/>
    <mergeCell ref="A3:H3"/>
    <mergeCell ref="I3:K3"/>
    <mergeCell ref="L3:T3"/>
    <mergeCell ref="U3:Y3"/>
    <mergeCell ref="Z3:AI3"/>
    <mergeCell ref="A4:D4"/>
    <mergeCell ref="E4:H4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71"/>
    <col customWidth="1" min="3" max="3" width="17.86"/>
    <col customWidth="1" min="4" max="4" width="13.57"/>
    <col customWidth="1" min="5" max="5" width="14.86"/>
    <col customWidth="1" min="6" max="7" width="10.71"/>
    <col customWidth="1" min="8" max="8" width="11.57"/>
    <col customWidth="1" min="9" max="9" width="5.71"/>
    <col customWidth="1" min="10" max="10" width="10.71"/>
    <col customWidth="1" min="11" max="11" width="18.43"/>
    <col customWidth="1" min="12" max="12" width="14.29"/>
    <col customWidth="1" min="13" max="13" width="13.29"/>
    <col customWidth="1" min="14" max="15" width="10.71"/>
    <col customWidth="1" min="16" max="16" width="12.57"/>
    <col customWidth="1" min="17" max="26" width="10.71"/>
  </cols>
  <sheetData>
    <row r="1" ht="14.25" customHeight="1">
      <c r="I1" s="6"/>
    </row>
    <row r="2" ht="14.25" customHeight="1">
      <c r="B2" s="9" t="s">
        <v>8</v>
      </c>
      <c r="I2" s="11"/>
      <c r="J2" s="9" t="s">
        <v>19</v>
      </c>
    </row>
    <row r="3" ht="14.25" customHeight="1">
      <c r="I3" s="13"/>
    </row>
    <row r="4" ht="14.25" customHeight="1">
      <c r="B4" s="16" t="s">
        <v>22</v>
      </c>
      <c r="C4" s="17"/>
      <c r="D4" s="17"/>
      <c r="E4" s="17"/>
      <c r="F4" s="17"/>
      <c r="G4" s="17"/>
      <c r="H4" s="21"/>
      <c r="I4" s="13"/>
      <c r="J4" s="24" t="s">
        <v>30</v>
      </c>
      <c r="K4" s="17"/>
      <c r="L4" s="17"/>
      <c r="M4" s="17"/>
      <c r="N4" s="17"/>
      <c r="O4" s="17"/>
      <c r="P4" s="27"/>
    </row>
    <row r="5" ht="14.25" customHeight="1">
      <c r="B5" s="31" t="s">
        <v>37</v>
      </c>
      <c r="C5" s="34"/>
      <c r="D5" s="36" t="s">
        <v>20</v>
      </c>
      <c r="E5" s="37"/>
      <c r="F5" s="37"/>
      <c r="G5" s="37"/>
      <c r="H5" s="38"/>
      <c r="I5" s="13"/>
      <c r="J5" s="41" t="s">
        <v>37</v>
      </c>
      <c r="K5" s="34"/>
      <c r="L5" s="36" t="s">
        <v>20</v>
      </c>
      <c r="M5" s="37"/>
      <c r="N5" s="37"/>
      <c r="O5" s="37"/>
      <c r="P5" s="44"/>
    </row>
    <row r="6" ht="14.25" customHeight="1">
      <c r="B6" s="46"/>
      <c r="C6" s="47"/>
      <c r="D6" s="49" t="s">
        <v>75</v>
      </c>
      <c r="E6" s="49" t="s">
        <v>79</v>
      </c>
      <c r="F6" s="49" t="s">
        <v>80</v>
      </c>
      <c r="G6" s="49" t="s">
        <v>81</v>
      </c>
      <c r="H6" s="52" t="s">
        <v>82</v>
      </c>
      <c r="I6" s="13"/>
      <c r="J6" s="55"/>
      <c r="K6" s="47"/>
      <c r="L6" s="49" t="s">
        <v>75</v>
      </c>
      <c r="M6" s="49" t="s">
        <v>79</v>
      </c>
      <c r="N6" s="49" t="s">
        <v>80</v>
      </c>
      <c r="O6" s="49" t="s">
        <v>81</v>
      </c>
      <c r="P6" s="57" t="s">
        <v>82</v>
      </c>
    </row>
    <row r="7" ht="14.25" customHeight="1">
      <c r="B7" s="58"/>
      <c r="C7" s="60"/>
      <c r="D7" s="62"/>
      <c r="E7" s="62"/>
      <c r="F7" s="62"/>
      <c r="G7" s="62"/>
      <c r="H7" s="63"/>
      <c r="I7" s="13"/>
      <c r="J7" s="65"/>
      <c r="K7" s="60"/>
      <c r="L7" s="62"/>
      <c r="M7" s="62"/>
      <c r="N7" s="62"/>
      <c r="O7" s="62"/>
      <c r="P7" s="67"/>
    </row>
    <row r="8" ht="14.25" customHeight="1">
      <c r="B8" s="69" t="s">
        <v>25</v>
      </c>
      <c r="C8" s="70" t="s">
        <v>122</v>
      </c>
      <c r="D8" s="71"/>
      <c r="E8" s="72"/>
      <c r="F8" s="72"/>
      <c r="G8" s="72" t="s">
        <v>130</v>
      </c>
      <c r="H8" s="73" t="s">
        <v>131</v>
      </c>
      <c r="I8" s="13"/>
      <c r="J8" s="74" t="s">
        <v>25</v>
      </c>
      <c r="K8" s="70" t="s">
        <v>122</v>
      </c>
      <c r="L8" s="71"/>
      <c r="M8" s="72"/>
      <c r="N8" s="72"/>
      <c r="O8" s="72"/>
      <c r="P8" s="75"/>
    </row>
    <row r="9" ht="14.25" customHeight="1">
      <c r="B9" s="76"/>
      <c r="C9" s="70" t="s">
        <v>138</v>
      </c>
      <c r="D9" s="78"/>
      <c r="E9" s="79"/>
      <c r="F9" s="80"/>
      <c r="G9" s="80" t="s">
        <v>145</v>
      </c>
      <c r="H9" s="81"/>
      <c r="I9" s="13"/>
      <c r="J9" s="82"/>
      <c r="K9" s="70" t="s">
        <v>138</v>
      </c>
      <c r="L9" s="78" t="s">
        <v>151</v>
      </c>
      <c r="M9" s="79"/>
      <c r="N9" s="80"/>
      <c r="O9" s="80"/>
      <c r="P9" s="83"/>
    </row>
    <row r="10" ht="14.25" customHeight="1">
      <c r="B10" s="76"/>
      <c r="C10" s="70" t="s">
        <v>158</v>
      </c>
      <c r="D10" s="85"/>
      <c r="E10" s="86"/>
      <c r="F10" s="79"/>
      <c r="G10" s="79"/>
      <c r="H10" s="81"/>
      <c r="I10" s="13"/>
      <c r="J10" s="82"/>
      <c r="K10" s="70" t="s">
        <v>158</v>
      </c>
      <c r="L10" s="85"/>
      <c r="M10" s="86" t="s">
        <v>164</v>
      </c>
      <c r="N10" s="79"/>
      <c r="O10" s="79"/>
      <c r="P10" s="83"/>
    </row>
    <row r="11" ht="14.25" customHeight="1">
      <c r="B11" s="76"/>
      <c r="C11" s="70" t="s">
        <v>165</v>
      </c>
      <c r="D11" s="88"/>
      <c r="E11" s="89"/>
      <c r="F11" s="86"/>
      <c r="G11" s="79"/>
      <c r="H11" s="90"/>
      <c r="I11" s="13"/>
      <c r="J11" s="82"/>
      <c r="K11" s="70" t="s">
        <v>165</v>
      </c>
      <c r="L11" s="88"/>
      <c r="M11" s="89" t="s">
        <v>170</v>
      </c>
      <c r="N11" s="86"/>
      <c r="O11" s="79"/>
      <c r="P11" s="91"/>
    </row>
    <row r="12" ht="14.25" customHeight="1">
      <c r="B12" s="92"/>
      <c r="C12" s="93" t="s">
        <v>176</v>
      </c>
      <c r="D12" s="94"/>
      <c r="E12" s="95"/>
      <c r="F12" s="95"/>
      <c r="G12" s="96"/>
      <c r="H12" s="97"/>
      <c r="I12" s="13"/>
      <c r="J12" s="98"/>
      <c r="K12" s="93" t="s">
        <v>176</v>
      </c>
      <c r="L12" s="94"/>
      <c r="M12" s="95"/>
      <c r="N12" s="95"/>
      <c r="O12" s="96"/>
      <c r="P12" s="99"/>
    </row>
    <row r="13" ht="14.25" customHeight="1">
      <c r="I13" s="13"/>
    </row>
    <row r="14" ht="14.25" customHeight="1">
      <c r="I14" s="100"/>
    </row>
    <row r="15" ht="14.25" customHeight="1"/>
    <row r="16" ht="14.25" customHeight="1">
      <c r="B16" s="101" t="s">
        <v>183</v>
      </c>
      <c r="C16" s="17"/>
      <c r="D16" s="17"/>
      <c r="E16" s="17"/>
      <c r="F16" s="17"/>
      <c r="G16" s="17"/>
      <c r="H16" s="27"/>
      <c r="J16" s="101" t="s">
        <v>189</v>
      </c>
      <c r="K16" s="17"/>
      <c r="L16" s="17"/>
      <c r="M16" s="17"/>
      <c r="N16" s="17"/>
      <c r="O16" s="17"/>
      <c r="P16" s="27"/>
    </row>
    <row r="17" ht="141.0" customHeight="1">
      <c r="B17" s="104" t="s">
        <v>191</v>
      </c>
      <c r="C17" s="105"/>
      <c r="D17" s="105"/>
      <c r="E17" s="105"/>
      <c r="F17" s="105"/>
      <c r="G17" s="105"/>
      <c r="H17" s="107"/>
      <c r="J17" s="104" t="s">
        <v>198</v>
      </c>
      <c r="K17" s="105"/>
      <c r="L17" s="105"/>
      <c r="M17" s="105"/>
      <c r="N17" s="105"/>
      <c r="O17" s="105"/>
      <c r="P17" s="10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5:C7"/>
    <mergeCell ref="D6:D7"/>
    <mergeCell ref="B8:B12"/>
    <mergeCell ref="B16:H16"/>
    <mergeCell ref="B17:H17"/>
    <mergeCell ref="E6:E7"/>
    <mergeCell ref="F6:F7"/>
    <mergeCell ref="G6:G7"/>
    <mergeCell ref="H6:H7"/>
    <mergeCell ref="L6:L7"/>
    <mergeCell ref="M6:M7"/>
    <mergeCell ref="J8:J12"/>
    <mergeCell ref="J16:P16"/>
    <mergeCell ref="J17:P17"/>
    <mergeCell ref="N6:N7"/>
    <mergeCell ref="O6:O7"/>
    <mergeCell ref="B2:H2"/>
    <mergeCell ref="J2:P2"/>
    <mergeCell ref="B4:H4"/>
    <mergeCell ref="J4:P4"/>
    <mergeCell ref="D5:H5"/>
    <mergeCell ref="J5:K7"/>
    <mergeCell ref="L5:P5"/>
    <mergeCell ref="P6:P7"/>
  </mergeCells>
  <conditionalFormatting sqref="D8">
    <cfRule type="cellIs" dxfId="0" priority="1" operator="equal">
      <formula>"Bajo"</formula>
    </cfRule>
  </conditionalFormatting>
  <conditionalFormatting sqref="D8">
    <cfRule type="cellIs" dxfId="1" priority="2" operator="equal">
      <formula>"Moderado"</formula>
    </cfRule>
  </conditionalFormatting>
  <conditionalFormatting sqref="D8">
    <cfRule type="cellIs" dxfId="2" priority="3" operator="equal">
      <formula>"Alto"</formula>
    </cfRule>
  </conditionalFormatting>
  <conditionalFormatting sqref="D8">
    <cfRule type="cellIs" dxfId="3" priority="4" operator="equal">
      <formula>"Extremo"</formula>
    </cfRule>
  </conditionalFormatting>
  <conditionalFormatting sqref="L8">
    <cfRule type="cellIs" dxfId="0" priority="5" operator="equal">
      <formula>"Bajo"</formula>
    </cfRule>
  </conditionalFormatting>
  <conditionalFormatting sqref="L8">
    <cfRule type="cellIs" dxfId="1" priority="6" operator="equal">
      <formula>"Moderado"</formula>
    </cfRule>
  </conditionalFormatting>
  <conditionalFormatting sqref="L8">
    <cfRule type="cellIs" dxfId="2" priority="7" operator="equal">
      <formula>"Alto"</formula>
    </cfRule>
  </conditionalFormatting>
  <conditionalFormatting sqref="L8">
    <cfRule type="cellIs" dxfId="3" priority="8" operator="equal">
      <formula>"Extremo"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50.29"/>
    <col customWidth="1" min="3" max="3" width="10.86"/>
    <col customWidth="1" min="4" max="4" width="26.57"/>
    <col customWidth="1" min="5" max="5" width="15.29"/>
    <col customWidth="1" min="6" max="6" width="13.29"/>
    <col customWidth="1" min="7" max="7" width="9.86"/>
    <col customWidth="1" min="8" max="9" width="9.29"/>
    <col customWidth="1" min="10" max="10" width="19.29"/>
    <col customWidth="1" min="11" max="11" width="52.29"/>
    <col customWidth="1" min="12" max="12" width="27.86"/>
    <col customWidth="1" min="13" max="13" width="33.71"/>
    <col customWidth="1" min="14" max="16" width="10.71"/>
    <col customWidth="1" min="17" max="17" width="32.86"/>
    <col customWidth="1" min="18" max="18" width="14.71"/>
    <col customWidth="1" min="19" max="19" width="14.29"/>
    <col customWidth="1" min="20" max="20" width="13.71"/>
    <col customWidth="1" min="21" max="21" width="24.86"/>
    <col customWidth="1" min="22" max="22" width="26.71"/>
    <col customWidth="1" min="23" max="23" width="17.0"/>
    <col customWidth="1" min="24" max="24" width="20.71"/>
    <col customWidth="1" min="25" max="25" width="11.14"/>
    <col customWidth="1" min="26" max="26" width="18.29"/>
    <col customWidth="1" min="27" max="27" width="81.57"/>
    <col customWidth="1" min="28" max="28" width="13.0"/>
    <col customWidth="1" min="29" max="29" width="15.71"/>
    <col customWidth="1" min="30" max="31" width="10.71"/>
    <col customWidth="1" min="32" max="32" width="14.29"/>
    <col customWidth="1" min="33" max="33" width="10.71"/>
    <col customWidth="1" min="34" max="34" width="21.14"/>
    <col customWidth="1" min="35" max="35" width="10.71"/>
    <col customWidth="1" min="36" max="36" width="61.0"/>
  </cols>
  <sheetData>
    <row r="1" ht="14.25" customHeight="1">
      <c r="A1" s="1" t="s">
        <v>0</v>
      </c>
      <c r="B1" s="1"/>
      <c r="C1" s="1"/>
    </row>
    <row r="2" ht="14.25" customHeight="1"/>
    <row r="3" ht="14.25" customHeight="1">
      <c r="A3" s="4" t="s">
        <v>2</v>
      </c>
      <c r="B3" s="5"/>
      <c r="C3" s="5"/>
      <c r="D3" s="5"/>
      <c r="E3" s="5"/>
      <c r="F3" s="5"/>
      <c r="G3" s="5"/>
      <c r="H3" s="8"/>
      <c r="I3" s="4" t="s">
        <v>9</v>
      </c>
      <c r="J3" s="5"/>
      <c r="K3" s="8"/>
      <c r="L3" s="4" t="s">
        <v>10</v>
      </c>
      <c r="M3" s="5"/>
      <c r="N3" s="5"/>
      <c r="O3" s="5"/>
      <c r="P3" s="5"/>
      <c r="Q3" s="5"/>
      <c r="R3" s="5"/>
      <c r="S3" s="5"/>
      <c r="T3" s="8"/>
      <c r="U3" s="4" t="s">
        <v>11</v>
      </c>
      <c r="V3" s="5"/>
      <c r="W3" s="5"/>
      <c r="X3" s="5"/>
      <c r="Y3" s="8"/>
      <c r="Z3" s="4" t="s">
        <v>12</v>
      </c>
      <c r="AA3" s="5"/>
      <c r="AB3" s="5"/>
      <c r="AC3" s="5"/>
      <c r="AD3" s="5"/>
      <c r="AE3" s="5"/>
      <c r="AF3" s="5"/>
      <c r="AG3" s="5"/>
      <c r="AH3" s="5"/>
      <c r="AI3" s="8"/>
    </row>
    <row r="4" ht="14.25" customHeight="1">
      <c r="A4" s="4" t="s">
        <v>13</v>
      </c>
      <c r="B4" s="5"/>
      <c r="C4" s="5"/>
      <c r="D4" s="8"/>
      <c r="E4" s="4" t="s">
        <v>14</v>
      </c>
      <c r="F4" s="5"/>
      <c r="G4" s="5"/>
      <c r="H4" s="8"/>
      <c r="I4" s="4" t="s">
        <v>15</v>
      </c>
      <c r="J4" s="5"/>
      <c r="K4" s="8"/>
      <c r="L4" s="4" t="s">
        <v>16</v>
      </c>
      <c r="M4" s="5"/>
      <c r="N4" s="5"/>
      <c r="O4" s="5"/>
      <c r="P4" s="8"/>
      <c r="Q4" s="4" t="s">
        <v>18</v>
      </c>
      <c r="R4" s="5"/>
      <c r="S4" s="8"/>
      <c r="T4" s="14" t="s">
        <v>20</v>
      </c>
      <c r="U4" s="4" t="s">
        <v>23</v>
      </c>
      <c r="V4" s="18"/>
      <c r="W4" s="19" t="s">
        <v>25</v>
      </c>
      <c r="X4" s="4" t="s">
        <v>26</v>
      </c>
      <c r="Y4" s="8"/>
      <c r="Z4" s="4" t="s">
        <v>27</v>
      </c>
      <c r="AA4" s="8"/>
      <c r="AB4" s="22"/>
      <c r="AC4" s="5"/>
      <c r="AD4" s="5"/>
      <c r="AE4" s="18"/>
      <c r="AF4" s="4" t="s">
        <v>31</v>
      </c>
      <c r="AG4" s="5"/>
      <c r="AH4" s="5"/>
      <c r="AI4" s="8"/>
    </row>
    <row r="5" ht="14.25" customHeight="1">
      <c r="A5" s="25" t="s">
        <v>34</v>
      </c>
      <c r="B5" s="25" t="s">
        <v>35</v>
      </c>
      <c r="C5" s="28" t="s">
        <v>36</v>
      </c>
      <c r="D5" s="28" t="s">
        <v>38</v>
      </c>
      <c r="E5" s="29" t="s">
        <v>39</v>
      </c>
      <c r="F5" s="29" t="s">
        <v>40</v>
      </c>
      <c r="G5" s="29" t="s">
        <v>41</v>
      </c>
      <c r="H5" s="29" t="s">
        <v>42</v>
      </c>
      <c r="I5" s="29" t="s">
        <v>43</v>
      </c>
      <c r="J5" s="25" t="s">
        <v>44</v>
      </c>
      <c r="K5" s="25" t="s">
        <v>45</v>
      </c>
      <c r="L5" s="29" t="s">
        <v>46</v>
      </c>
      <c r="M5" s="25" t="s">
        <v>47</v>
      </c>
      <c r="N5" s="25" t="s">
        <v>48</v>
      </c>
      <c r="O5" s="25" t="s">
        <v>49</v>
      </c>
      <c r="P5" s="25" t="s">
        <v>50</v>
      </c>
      <c r="Q5" s="25" t="s">
        <v>55</v>
      </c>
      <c r="R5" s="25" t="s">
        <v>52</v>
      </c>
      <c r="S5" s="25" t="s">
        <v>53</v>
      </c>
      <c r="T5" s="25" t="s">
        <v>54</v>
      </c>
      <c r="U5" s="35" t="s">
        <v>57</v>
      </c>
      <c r="V5" s="40" t="s">
        <v>59</v>
      </c>
      <c r="W5" s="40" t="s">
        <v>61</v>
      </c>
      <c r="X5" s="40" t="s">
        <v>62</v>
      </c>
      <c r="Y5" s="40" t="s">
        <v>63</v>
      </c>
      <c r="Z5" s="40" t="s">
        <v>64</v>
      </c>
      <c r="AA5" s="40" t="s">
        <v>65</v>
      </c>
      <c r="AB5" s="40" t="s">
        <v>66</v>
      </c>
      <c r="AC5" s="40" t="s">
        <v>67</v>
      </c>
      <c r="AD5" s="40" t="s">
        <v>68</v>
      </c>
      <c r="AE5" s="40" t="s">
        <v>69</v>
      </c>
      <c r="AF5" s="45" t="s">
        <v>70</v>
      </c>
      <c r="AG5" s="45" t="s">
        <v>71</v>
      </c>
      <c r="AH5" s="45" t="s">
        <v>72</v>
      </c>
      <c r="AI5" s="25" t="s">
        <v>73</v>
      </c>
      <c r="AJ5" s="35" t="s">
        <v>74</v>
      </c>
    </row>
    <row r="6" ht="189.0" customHeight="1">
      <c r="A6" s="48" t="s">
        <v>76</v>
      </c>
      <c r="B6" s="51" t="s">
        <v>78</v>
      </c>
      <c r="C6" s="48" t="s">
        <v>85</v>
      </c>
      <c r="D6" s="48" t="s">
        <v>86</v>
      </c>
      <c r="E6" s="48" t="s">
        <v>87</v>
      </c>
      <c r="F6" s="48" t="s">
        <v>87</v>
      </c>
      <c r="G6" s="48" t="s">
        <v>87</v>
      </c>
      <c r="H6" s="48" t="s">
        <v>87</v>
      </c>
      <c r="I6" s="48" t="s">
        <v>88</v>
      </c>
      <c r="J6" s="54" t="s">
        <v>89</v>
      </c>
      <c r="K6" s="51" t="s">
        <v>94</v>
      </c>
      <c r="L6" s="48" t="s">
        <v>96</v>
      </c>
      <c r="M6" s="48" t="s">
        <v>99</v>
      </c>
      <c r="N6" s="48" t="s">
        <v>98</v>
      </c>
      <c r="O6" s="48">
        <v>4.0</v>
      </c>
      <c r="P6" s="48" t="s">
        <v>102</v>
      </c>
      <c r="Q6" s="51" t="s">
        <v>103</v>
      </c>
      <c r="R6" s="48">
        <v>5.0</v>
      </c>
      <c r="S6" s="48" t="s">
        <v>102</v>
      </c>
      <c r="T6" s="48">
        <v>5.0</v>
      </c>
      <c r="U6" s="56" t="s">
        <v>104</v>
      </c>
      <c r="V6" s="56" t="s">
        <v>105</v>
      </c>
      <c r="W6" s="48">
        <v>5.0</v>
      </c>
      <c r="X6" s="48">
        <v>25.0</v>
      </c>
      <c r="Y6" s="48" t="s">
        <v>106</v>
      </c>
      <c r="Z6" s="48" t="s">
        <v>107</v>
      </c>
      <c r="AA6" s="51" t="s">
        <v>108</v>
      </c>
      <c r="AB6" s="48" t="s">
        <v>110</v>
      </c>
      <c r="AC6" s="48" t="s">
        <v>111</v>
      </c>
      <c r="AD6" s="61">
        <v>0.9</v>
      </c>
      <c r="AE6" s="61">
        <v>0.1</v>
      </c>
      <c r="AF6" s="48">
        <v>1.0</v>
      </c>
      <c r="AG6" s="48">
        <v>4.0</v>
      </c>
      <c r="AH6" s="48">
        <v>4.0</v>
      </c>
      <c r="AI6" s="48" t="s">
        <v>102</v>
      </c>
      <c r="AJ6" s="51" t="s">
        <v>116</v>
      </c>
    </row>
    <row r="7" ht="14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68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I4:K4"/>
    <mergeCell ref="L4:P4"/>
    <mergeCell ref="Q4:S4"/>
    <mergeCell ref="U4:V4"/>
    <mergeCell ref="X4:Y4"/>
    <mergeCell ref="Z4:AA4"/>
    <mergeCell ref="AB4:AE4"/>
    <mergeCell ref="AF4:AI4"/>
    <mergeCell ref="A3:H3"/>
    <mergeCell ref="I3:K3"/>
    <mergeCell ref="L3:T3"/>
    <mergeCell ref="U3:Y3"/>
    <mergeCell ref="Z3:AI3"/>
    <mergeCell ref="A4:D4"/>
    <mergeCell ref="E4:H4"/>
  </mergeCell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53.29"/>
    <col customWidth="1" min="2" max="2" width="85.14"/>
    <col customWidth="1" min="3" max="26" width="10.71"/>
  </cols>
  <sheetData>
    <row r="1" ht="14.25" customHeight="1">
      <c r="A1" s="102" t="s">
        <v>188</v>
      </c>
      <c r="B1" s="103"/>
    </row>
    <row r="2" ht="14.25" customHeight="1">
      <c r="A2" s="16" t="s">
        <v>192</v>
      </c>
      <c r="B2" s="27"/>
    </row>
    <row r="3" ht="14.25" customHeight="1">
      <c r="A3" s="106" t="s">
        <v>193</v>
      </c>
      <c r="B3" s="108" t="s">
        <v>196</v>
      </c>
    </row>
    <row r="4" ht="7.5" customHeight="1">
      <c r="A4" s="109"/>
      <c r="B4" s="14"/>
    </row>
    <row r="5" ht="14.25" customHeight="1">
      <c r="A5" s="110" t="s">
        <v>201</v>
      </c>
      <c r="B5" s="111" t="s">
        <v>202</v>
      </c>
    </row>
    <row r="6" ht="14.25" customHeight="1">
      <c r="A6" s="46"/>
      <c r="B6" s="112" t="s">
        <v>203</v>
      </c>
    </row>
    <row r="7" ht="14.25" customHeight="1">
      <c r="A7" s="46"/>
      <c r="B7" s="113" t="s">
        <v>204</v>
      </c>
    </row>
    <row r="8" ht="14.25" customHeight="1">
      <c r="A8" s="114"/>
      <c r="B8" s="115" t="s">
        <v>205</v>
      </c>
    </row>
    <row r="9" ht="14.25" customHeight="1">
      <c r="A9" s="116" t="s">
        <v>206</v>
      </c>
      <c r="B9" s="111" t="s">
        <v>207</v>
      </c>
    </row>
    <row r="10" ht="14.25" customHeight="1">
      <c r="A10" s="46"/>
      <c r="B10" s="112" t="s">
        <v>208</v>
      </c>
      <c r="C10" s="117"/>
      <c r="D10" s="117"/>
    </row>
    <row r="11" ht="14.25" customHeight="1">
      <c r="A11" s="46"/>
      <c r="B11" s="113" t="s">
        <v>209</v>
      </c>
      <c r="C11" s="84"/>
      <c r="D11" s="84"/>
    </row>
    <row r="12" ht="14.25" customHeight="1">
      <c r="A12" s="46"/>
      <c r="B12" s="112" t="s">
        <v>210</v>
      </c>
      <c r="C12" s="84"/>
      <c r="D12" s="84"/>
    </row>
    <row r="13" ht="14.25" customHeight="1">
      <c r="A13" s="46"/>
      <c r="B13" s="112" t="s">
        <v>211</v>
      </c>
      <c r="C13" s="117"/>
      <c r="D13" s="117"/>
    </row>
    <row r="14" ht="14.25" customHeight="1">
      <c r="A14" s="114"/>
      <c r="B14" s="118" t="s">
        <v>212</v>
      </c>
      <c r="C14" s="119"/>
      <c r="D14" s="11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20" t="s">
        <v>213</v>
      </c>
      <c r="B15" s="121" t="s">
        <v>214</v>
      </c>
      <c r="C15" s="119"/>
      <c r="D15" s="11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122"/>
      <c r="B16" s="123" t="s">
        <v>215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122"/>
      <c r="B17" s="124" t="s">
        <v>216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125"/>
      <c r="B18" s="124" t="s">
        <v>217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120" t="s">
        <v>218</v>
      </c>
      <c r="B19" s="126" t="s">
        <v>219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22"/>
      <c r="B20" s="123" t="s">
        <v>220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122"/>
      <c r="B21" s="124" t="s">
        <v>221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122"/>
      <c r="B22" s="124" t="s">
        <v>222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122"/>
      <c r="B23" s="124" t="s">
        <v>223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122"/>
      <c r="B24" s="123" t="s">
        <v>224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122"/>
      <c r="B25" s="123" t="s">
        <v>227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22"/>
      <c r="B26" s="124" t="s">
        <v>228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130"/>
      <c r="B27" s="118" t="s">
        <v>231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120" t="s">
        <v>237</v>
      </c>
      <c r="B28" s="126" t="s">
        <v>240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122"/>
      <c r="B29" s="124" t="s">
        <v>256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122"/>
      <c r="B30" s="123" t="s">
        <v>266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0.0" customHeight="1">
      <c r="A31" s="122"/>
      <c r="B31" s="123" t="s">
        <v>278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122"/>
      <c r="B32" s="124" t="s">
        <v>289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22"/>
      <c r="B33" s="124" t="s">
        <v>290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122"/>
      <c r="B34" s="124" t="s">
        <v>291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122"/>
      <c r="B35" s="124" t="s">
        <v>292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122"/>
      <c r="B36" s="124" t="s">
        <v>293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130"/>
      <c r="B37" s="134" t="s">
        <v>294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135" t="s">
        <v>295</v>
      </c>
      <c r="B38" s="121" t="s">
        <v>296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122"/>
      <c r="B39" s="124" t="s">
        <v>297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122"/>
      <c r="B40" s="123" t="s">
        <v>298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122"/>
      <c r="B41" s="124" t="s">
        <v>299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122"/>
      <c r="B42" s="124" t="s">
        <v>300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122"/>
      <c r="B43" s="123" t="s">
        <v>301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22"/>
      <c r="B44" s="123" t="s">
        <v>302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122"/>
      <c r="B45" s="124" t="s">
        <v>304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122"/>
      <c r="B46" s="123" t="s">
        <v>308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122"/>
      <c r="B47" s="123" t="s">
        <v>313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130"/>
      <c r="B48" s="118" t="s">
        <v>328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135" t="s">
        <v>340</v>
      </c>
      <c r="B49" s="121" t="s">
        <v>342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122"/>
      <c r="B50" s="123" t="s">
        <v>353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122"/>
      <c r="B51" s="124" t="s">
        <v>363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130"/>
      <c r="B52" s="118" t="s">
        <v>372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120" t="s">
        <v>373</v>
      </c>
      <c r="B53" s="121" t="s">
        <v>374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122"/>
      <c r="B54" s="123" t="s">
        <v>375</v>
      </c>
      <c r="C54" s="11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6.25" customHeight="1">
      <c r="A55" s="122"/>
      <c r="B55" s="124" t="s">
        <v>376</v>
      </c>
      <c r="C55" s="11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122"/>
      <c r="B56" s="124" t="s">
        <v>379</v>
      </c>
      <c r="C56" s="11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122"/>
      <c r="B57" s="123" t="s">
        <v>385</v>
      </c>
      <c r="C57" s="11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130"/>
      <c r="B58" s="134" t="s">
        <v>396</v>
      </c>
      <c r="C58" s="1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20" t="s">
        <v>84</v>
      </c>
      <c r="B59" s="156" t="s">
        <v>403</v>
      </c>
      <c r="C59" s="11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122"/>
      <c r="B60" s="124" t="s">
        <v>428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122"/>
      <c r="B61" s="157" t="s">
        <v>441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122"/>
      <c r="B62" s="157" t="s">
        <v>456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122"/>
      <c r="B63" s="124" t="s">
        <v>469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122"/>
      <c r="B64" s="124" t="s">
        <v>483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22"/>
      <c r="B65" s="124" t="s">
        <v>489</v>
      </c>
      <c r="C65" s="1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122"/>
      <c r="B66" s="157" t="s">
        <v>490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122"/>
      <c r="B67" s="157" t="s">
        <v>491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122"/>
      <c r="B68" s="157" t="s">
        <v>492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22"/>
      <c r="B69" s="157" t="s">
        <v>493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125"/>
      <c r="B70" s="157" t="s">
        <v>495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20" t="s">
        <v>499</v>
      </c>
      <c r="B71" s="126" t="s">
        <v>500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122"/>
      <c r="B72" s="124" t="s">
        <v>502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22"/>
      <c r="B73" s="124" t="s">
        <v>504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130"/>
      <c r="B74" s="134" t="s">
        <v>509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120" t="s">
        <v>510</v>
      </c>
      <c r="B75" s="121" t="s">
        <v>511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122"/>
      <c r="B76" s="124" t="s">
        <v>514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122"/>
      <c r="B77" s="123" t="s">
        <v>516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122"/>
      <c r="B78" s="123" t="s">
        <v>518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122"/>
      <c r="B79" s="123" t="s">
        <v>520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122"/>
      <c r="B80" s="123" t="s">
        <v>523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130"/>
      <c r="B81" s="118" t="s">
        <v>525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120" t="s">
        <v>527</v>
      </c>
      <c r="B82" s="126" t="s">
        <v>528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6.25" customHeight="1">
      <c r="A83" s="122"/>
      <c r="B83" s="123" t="s">
        <v>531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130"/>
      <c r="B84" s="188" t="s">
        <v>535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120" t="s">
        <v>540</v>
      </c>
      <c r="B85" s="126" t="s">
        <v>542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122"/>
      <c r="B86" s="124" t="s">
        <v>555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130"/>
      <c r="B87" s="134" t="s">
        <v>562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120" t="s">
        <v>566</v>
      </c>
      <c r="B88" s="126" t="s">
        <v>568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122"/>
      <c r="B89" s="124" t="s">
        <v>571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122"/>
      <c r="B90" s="124" t="s">
        <v>573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130"/>
      <c r="B91" s="134" t="s">
        <v>575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120" t="s">
        <v>173</v>
      </c>
      <c r="B92" s="126" t="s">
        <v>578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122"/>
      <c r="B93" s="124" t="s">
        <v>579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122"/>
      <c r="B94" s="124" t="s">
        <v>582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5.5" customHeight="1">
      <c r="A95" s="130"/>
      <c r="B95" s="118" t="s">
        <v>583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120" t="s">
        <v>584</v>
      </c>
      <c r="B96" s="126" t="s">
        <v>587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122"/>
      <c r="B97" s="124" t="s">
        <v>589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122"/>
      <c r="B98" s="124" t="s">
        <v>590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122"/>
      <c r="B99" s="124" t="s">
        <v>591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122"/>
      <c r="B100" s="124" t="s">
        <v>592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125"/>
      <c r="B101" s="124" t="s">
        <v>593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120" t="s">
        <v>594</v>
      </c>
      <c r="B102" s="126" t="s">
        <v>595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7.75" customHeight="1">
      <c r="A103" s="122"/>
      <c r="B103" s="123" t="s">
        <v>596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122"/>
      <c r="B104" s="124" t="s">
        <v>597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130"/>
      <c r="B105" s="134" t="s">
        <v>598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204" t="s">
        <v>599</v>
      </c>
      <c r="B106" s="205" t="s">
        <v>600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116" t="s">
        <v>601</v>
      </c>
      <c r="B107" s="206" t="s">
        <v>602</v>
      </c>
    </row>
    <row r="108" ht="14.25" customHeight="1">
      <c r="A108" s="46"/>
      <c r="B108" s="112" t="s">
        <v>603</v>
      </c>
    </row>
    <row r="109" ht="14.25" customHeight="1">
      <c r="A109" s="46"/>
      <c r="B109" s="112" t="s">
        <v>604</v>
      </c>
    </row>
    <row r="110" ht="14.25" customHeight="1">
      <c r="A110" s="46"/>
      <c r="B110" s="112" t="s">
        <v>605</v>
      </c>
    </row>
    <row r="111" ht="14.25" customHeight="1">
      <c r="A111" s="46"/>
      <c r="B111" s="112" t="s">
        <v>606</v>
      </c>
    </row>
    <row r="112" ht="14.25" customHeight="1">
      <c r="A112" s="114"/>
      <c r="B112" s="115" t="s">
        <v>607</v>
      </c>
    </row>
    <row r="113" ht="14.25" customHeight="1">
      <c r="A113" s="116" t="s">
        <v>608</v>
      </c>
      <c r="B113" s="206" t="s">
        <v>609</v>
      </c>
    </row>
    <row r="114" ht="14.25" customHeight="1">
      <c r="A114" s="46"/>
      <c r="B114" s="112" t="s">
        <v>610</v>
      </c>
    </row>
    <row r="115" ht="14.25" customHeight="1">
      <c r="A115" s="114"/>
      <c r="B115" s="115" t="s">
        <v>611</v>
      </c>
    </row>
    <row r="116" ht="14.25" customHeight="1"/>
    <row r="117" ht="14.25" customHeight="1">
      <c r="A117" s="207"/>
      <c r="B117" s="207"/>
    </row>
    <row r="118" ht="14.25" customHeight="1">
      <c r="A118" s="207"/>
      <c r="B118" s="207"/>
    </row>
    <row r="119" ht="14.25" customHeight="1">
      <c r="A119" s="207"/>
      <c r="B119" s="207"/>
    </row>
    <row r="120" ht="14.25" customHeight="1">
      <c r="A120" s="207"/>
      <c r="B120" s="207"/>
    </row>
    <row r="121" ht="14.25" customHeight="1">
      <c r="A121" s="207"/>
      <c r="B121" s="207"/>
    </row>
    <row r="122" ht="14.25" customHeight="1">
      <c r="A122" s="207"/>
      <c r="B122" s="207"/>
    </row>
    <row r="123" ht="14.25" customHeight="1">
      <c r="A123" s="207"/>
      <c r="B123" s="207"/>
    </row>
    <row r="124" ht="14.25" customHeight="1">
      <c r="A124" s="207"/>
      <c r="B124" s="207"/>
    </row>
    <row r="125" ht="14.25" customHeight="1">
      <c r="A125" s="207"/>
      <c r="B125" s="207"/>
    </row>
    <row r="126" ht="14.25" customHeight="1">
      <c r="A126" s="207"/>
      <c r="B126" s="207"/>
    </row>
    <row r="127" ht="14.25" customHeight="1">
      <c r="A127" s="207"/>
      <c r="B127" s="207"/>
    </row>
    <row r="128" ht="14.25" customHeight="1">
      <c r="A128" s="207"/>
      <c r="B128" s="207"/>
    </row>
    <row r="129" ht="14.25" customHeight="1">
      <c r="A129" s="207"/>
      <c r="B129" s="207"/>
    </row>
    <row r="130" ht="14.25" customHeight="1">
      <c r="A130" s="207"/>
      <c r="B130" s="207"/>
    </row>
    <row r="131" ht="14.25" customHeight="1">
      <c r="A131" s="207"/>
      <c r="B131" s="207"/>
    </row>
    <row r="132" ht="14.25" customHeight="1">
      <c r="A132" s="207"/>
      <c r="B132" s="207"/>
    </row>
    <row r="133" ht="14.25" customHeight="1">
      <c r="A133" s="207"/>
      <c r="B133" s="207"/>
    </row>
    <row r="134" ht="14.25" customHeight="1">
      <c r="A134" s="207"/>
      <c r="B134" s="207"/>
    </row>
    <row r="135" ht="14.25" customHeight="1">
      <c r="A135" s="207"/>
      <c r="B135" s="207"/>
    </row>
    <row r="136" ht="14.25" customHeight="1">
      <c r="A136" s="207"/>
      <c r="B136" s="207"/>
    </row>
    <row r="137" ht="14.25" customHeight="1">
      <c r="A137" s="207"/>
      <c r="B137" s="207"/>
    </row>
    <row r="138" ht="14.25" customHeight="1">
      <c r="A138" s="207"/>
      <c r="B138" s="207"/>
    </row>
    <row r="139" ht="14.25" customHeight="1">
      <c r="A139" s="207"/>
      <c r="B139" s="207"/>
    </row>
    <row r="140" ht="14.25" customHeight="1">
      <c r="A140" s="207"/>
      <c r="B140" s="207"/>
    </row>
    <row r="141" ht="14.25" customHeight="1">
      <c r="A141" s="207"/>
      <c r="B141" s="207"/>
    </row>
    <row r="142" ht="14.25" customHeight="1">
      <c r="A142" s="207"/>
      <c r="B142" s="207"/>
    </row>
    <row r="143" ht="14.25" customHeight="1">
      <c r="A143" s="207"/>
      <c r="B143" s="207"/>
    </row>
    <row r="144" ht="14.25" customHeight="1">
      <c r="A144" s="207"/>
      <c r="B144" s="207"/>
    </row>
    <row r="145" ht="14.25" customHeight="1">
      <c r="A145" s="207"/>
      <c r="B145" s="207"/>
    </row>
    <row r="146" ht="14.25" customHeight="1">
      <c r="A146" s="207"/>
      <c r="B146" s="207"/>
    </row>
    <row r="147" ht="14.25" customHeight="1">
      <c r="A147" s="207"/>
      <c r="B147" s="207"/>
    </row>
    <row r="148" ht="14.25" customHeight="1">
      <c r="A148" s="207"/>
      <c r="B148" s="207"/>
    </row>
    <row r="149" ht="14.25" customHeight="1">
      <c r="A149" s="207"/>
      <c r="B149" s="207"/>
    </row>
    <row r="150" ht="14.25" customHeight="1">
      <c r="A150" s="207"/>
      <c r="B150" s="207"/>
    </row>
    <row r="151" ht="14.25" customHeight="1">
      <c r="A151" s="207"/>
      <c r="B151" s="207"/>
    </row>
    <row r="152" ht="14.25" customHeight="1">
      <c r="A152" s="207"/>
      <c r="B152" s="207"/>
    </row>
    <row r="153" ht="14.25" customHeight="1">
      <c r="A153" s="207"/>
      <c r="B153" s="207"/>
    </row>
    <row r="154" ht="14.25" customHeight="1">
      <c r="A154" s="207"/>
      <c r="B154" s="207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B1"/>
    <mergeCell ref="A2:B2"/>
    <mergeCell ref="A5:A8"/>
    <mergeCell ref="A9:A14"/>
    <mergeCell ref="A15:A18"/>
    <mergeCell ref="A19:A27"/>
    <mergeCell ref="A28:A37"/>
    <mergeCell ref="A85:A87"/>
    <mergeCell ref="A88:A91"/>
    <mergeCell ref="A92:A95"/>
    <mergeCell ref="A96:A101"/>
    <mergeCell ref="A102:A105"/>
    <mergeCell ref="A107:A112"/>
    <mergeCell ref="A113:A115"/>
    <mergeCell ref="A38:A48"/>
    <mergeCell ref="A49:A52"/>
    <mergeCell ref="A53:A58"/>
    <mergeCell ref="A59:A70"/>
    <mergeCell ref="A71:A74"/>
    <mergeCell ref="A75:A81"/>
    <mergeCell ref="A82:A8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2" width="73.29"/>
    <col customWidth="1" min="3" max="3" width="16.71"/>
    <col customWidth="1" min="4" max="4" width="10.71"/>
    <col customWidth="1" min="5" max="5" width="18.0"/>
    <col customWidth="1" min="6" max="6" width="42.29"/>
    <col customWidth="1" min="7" max="26" width="10.71"/>
  </cols>
  <sheetData>
    <row r="1" ht="14.25" customHeight="1">
      <c r="A1" s="127" t="s">
        <v>225</v>
      </c>
      <c r="B1" s="5"/>
      <c r="C1" s="8"/>
    </row>
    <row r="2" ht="14.25" customHeight="1">
      <c r="A2" s="16" t="s">
        <v>226</v>
      </c>
      <c r="B2" s="17"/>
      <c r="C2" s="27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ht="14.25" customHeight="1">
      <c r="A3" s="106" t="s">
        <v>36</v>
      </c>
      <c r="B3" s="129" t="s">
        <v>229</v>
      </c>
      <c r="C3" s="108" t="s">
        <v>230</v>
      </c>
    </row>
    <row r="4" ht="6.0" customHeight="1">
      <c r="A4" s="109"/>
      <c r="B4" s="131"/>
      <c r="C4" s="14"/>
    </row>
    <row r="5" ht="14.25" customHeight="1">
      <c r="A5" s="132" t="s">
        <v>232</v>
      </c>
      <c r="B5" s="3" t="s">
        <v>233</v>
      </c>
      <c r="C5" s="133" t="s">
        <v>234</v>
      </c>
    </row>
    <row r="6" ht="14.25" customHeight="1">
      <c r="A6" s="132" t="s">
        <v>232</v>
      </c>
      <c r="B6" s="3" t="s">
        <v>235</v>
      </c>
      <c r="C6" s="133" t="s">
        <v>234</v>
      </c>
    </row>
    <row r="7" ht="14.25" customHeight="1">
      <c r="A7" s="132" t="s">
        <v>232</v>
      </c>
      <c r="B7" s="3" t="s">
        <v>236</v>
      </c>
      <c r="C7" s="133" t="s">
        <v>234</v>
      </c>
    </row>
    <row r="8" ht="14.25" customHeight="1">
      <c r="A8" s="132" t="s">
        <v>232</v>
      </c>
      <c r="B8" s="3" t="s">
        <v>238</v>
      </c>
      <c r="C8" s="133" t="s">
        <v>234</v>
      </c>
    </row>
    <row r="9" ht="14.25" customHeight="1">
      <c r="A9" s="132" t="s">
        <v>232</v>
      </c>
      <c r="B9" s="3" t="s">
        <v>239</v>
      </c>
      <c r="C9" s="133" t="s">
        <v>234</v>
      </c>
    </row>
    <row r="10" ht="14.25" customHeight="1">
      <c r="A10" s="132" t="s">
        <v>232</v>
      </c>
      <c r="B10" s="3" t="s">
        <v>241</v>
      </c>
      <c r="C10" s="133" t="s">
        <v>234</v>
      </c>
    </row>
    <row r="11" ht="14.25" customHeight="1">
      <c r="A11" s="132" t="s">
        <v>242</v>
      </c>
      <c r="B11" s="3" t="s">
        <v>243</v>
      </c>
      <c r="C11" s="133" t="s">
        <v>244</v>
      </c>
    </row>
    <row r="12" ht="14.25" customHeight="1">
      <c r="A12" s="132" t="s">
        <v>242</v>
      </c>
      <c r="B12" s="3" t="s">
        <v>245</v>
      </c>
      <c r="C12" s="133" t="s">
        <v>244</v>
      </c>
    </row>
    <row r="13" ht="14.25" customHeight="1">
      <c r="A13" s="132" t="s">
        <v>242</v>
      </c>
      <c r="B13" s="3" t="s">
        <v>246</v>
      </c>
      <c r="C13" s="133" t="s">
        <v>244</v>
      </c>
    </row>
    <row r="14" ht="14.25" customHeight="1">
      <c r="A14" s="132" t="s">
        <v>242</v>
      </c>
      <c r="B14" s="3" t="s">
        <v>247</v>
      </c>
      <c r="C14" s="133" t="s">
        <v>244</v>
      </c>
    </row>
    <row r="15" ht="14.25" customHeight="1">
      <c r="A15" s="132" t="s">
        <v>242</v>
      </c>
      <c r="B15" s="3" t="s">
        <v>248</v>
      </c>
      <c r="C15" s="133" t="s">
        <v>244</v>
      </c>
    </row>
    <row r="16" ht="14.25" customHeight="1">
      <c r="A16" s="132" t="s">
        <v>249</v>
      </c>
      <c r="B16" s="132" t="s">
        <v>250</v>
      </c>
      <c r="C16" s="133" t="s">
        <v>251</v>
      </c>
    </row>
    <row r="17" ht="14.25" customHeight="1">
      <c r="A17" s="132" t="s">
        <v>249</v>
      </c>
      <c r="B17" s="132" t="s">
        <v>252</v>
      </c>
      <c r="C17" s="133" t="s">
        <v>234</v>
      </c>
    </row>
    <row r="18" ht="14.25" customHeight="1">
      <c r="A18" s="132" t="s">
        <v>249</v>
      </c>
      <c r="B18" s="132" t="s">
        <v>253</v>
      </c>
      <c r="C18" s="133" t="s">
        <v>251</v>
      </c>
    </row>
    <row r="19" ht="14.25" customHeight="1">
      <c r="A19" s="132" t="s">
        <v>254</v>
      </c>
      <c r="B19" s="132" t="s">
        <v>255</v>
      </c>
      <c r="C19" s="133" t="s">
        <v>234</v>
      </c>
    </row>
    <row r="20" ht="14.25" customHeight="1">
      <c r="A20" s="132" t="s">
        <v>254</v>
      </c>
      <c r="B20" s="132" t="s">
        <v>257</v>
      </c>
      <c r="C20" s="133" t="s">
        <v>234</v>
      </c>
    </row>
    <row r="21" ht="14.25" customHeight="1">
      <c r="A21" s="132" t="s">
        <v>254</v>
      </c>
      <c r="B21" s="132" t="s">
        <v>258</v>
      </c>
      <c r="C21" s="133" t="s">
        <v>234</v>
      </c>
    </row>
    <row r="22" ht="14.25" customHeight="1">
      <c r="A22" s="132" t="s">
        <v>96</v>
      </c>
      <c r="B22" s="132" t="s">
        <v>259</v>
      </c>
      <c r="C22" s="133" t="s">
        <v>98</v>
      </c>
    </row>
    <row r="23" ht="14.25" customHeight="1">
      <c r="A23" s="132" t="s">
        <v>96</v>
      </c>
      <c r="B23" s="132" t="s">
        <v>260</v>
      </c>
      <c r="C23" s="133" t="s">
        <v>98</v>
      </c>
    </row>
    <row r="24" ht="14.25" customHeight="1">
      <c r="A24" s="132" t="s">
        <v>96</v>
      </c>
      <c r="B24" s="132" t="s">
        <v>261</v>
      </c>
      <c r="C24" s="133" t="s">
        <v>98</v>
      </c>
    </row>
    <row r="25" ht="14.25" customHeight="1">
      <c r="A25" s="132" t="s">
        <v>96</v>
      </c>
      <c r="B25" s="132" t="s">
        <v>262</v>
      </c>
      <c r="C25" s="133" t="s">
        <v>98</v>
      </c>
    </row>
    <row r="26" ht="14.25" customHeight="1">
      <c r="A26" s="132" t="s">
        <v>96</v>
      </c>
      <c r="B26" s="132" t="s">
        <v>263</v>
      </c>
      <c r="C26" s="133" t="s">
        <v>98</v>
      </c>
    </row>
    <row r="27" ht="14.25" customHeight="1">
      <c r="A27" s="132" t="s">
        <v>96</v>
      </c>
      <c r="B27" s="132" t="s">
        <v>264</v>
      </c>
      <c r="C27" s="133" t="s">
        <v>98</v>
      </c>
    </row>
    <row r="28" ht="14.25" customHeight="1">
      <c r="A28" s="132" t="s">
        <v>96</v>
      </c>
      <c r="B28" s="132" t="s">
        <v>126</v>
      </c>
      <c r="C28" s="133" t="s">
        <v>251</v>
      </c>
    </row>
    <row r="29" ht="14.25" customHeight="1">
      <c r="A29" s="132" t="s">
        <v>96</v>
      </c>
      <c r="B29" s="132" t="s">
        <v>265</v>
      </c>
      <c r="C29" s="133" t="s">
        <v>251</v>
      </c>
    </row>
    <row r="30" ht="14.25" customHeight="1">
      <c r="A30" s="132" t="s">
        <v>96</v>
      </c>
      <c r="B30" s="132" t="s">
        <v>267</v>
      </c>
      <c r="C30" s="133" t="s">
        <v>98</v>
      </c>
    </row>
    <row r="31" ht="14.25" customHeight="1">
      <c r="A31" s="132" t="s">
        <v>96</v>
      </c>
      <c r="B31" s="132" t="s">
        <v>268</v>
      </c>
      <c r="C31" s="133" t="s">
        <v>251</v>
      </c>
    </row>
    <row r="32" ht="14.25" customHeight="1">
      <c r="A32" s="132" t="s">
        <v>96</v>
      </c>
      <c r="B32" s="132" t="s">
        <v>269</v>
      </c>
      <c r="C32" s="133" t="s">
        <v>98</v>
      </c>
    </row>
    <row r="33" ht="14.25" customHeight="1">
      <c r="A33" s="132" t="s">
        <v>270</v>
      </c>
      <c r="B33" s="132" t="s">
        <v>271</v>
      </c>
      <c r="C33" s="133" t="s">
        <v>272</v>
      </c>
    </row>
    <row r="34" ht="14.25" customHeight="1">
      <c r="A34" s="132" t="s">
        <v>270</v>
      </c>
      <c r="B34" s="132" t="s">
        <v>273</v>
      </c>
      <c r="C34" s="133" t="s">
        <v>272</v>
      </c>
    </row>
    <row r="35" ht="14.25" customHeight="1">
      <c r="A35" s="132" t="s">
        <v>270</v>
      </c>
      <c r="B35" s="132" t="s">
        <v>140</v>
      </c>
      <c r="C35" s="133" t="s">
        <v>251</v>
      </c>
    </row>
    <row r="36" ht="14.25" customHeight="1">
      <c r="A36" s="132" t="s">
        <v>270</v>
      </c>
      <c r="B36" s="132" t="s">
        <v>274</v>
      </c>
      <c r="C36" s="133" t="s">
        <v>272</v>
      </c>
    </row>
    <row r="37" ht="14.25" customHeight="1">
      <c r="A37" s="132" t="s">
        <v>270</v>
      </c>
      <c r="B37" s="132" t="s">
        <v>275</v>
      </c>
      <c r="C37" s="133" t="s">
        <v>251</v>
      </c>
    </row>
    <row r="38" ht="14.25" customHeight="1">
      <c r="A38" s="132" t="s">
        <v>276</v>
      </c>
      <c r="B38" s="132" t="s">
        <v>277</v>
      </c>
      <c r="C38" s="133" t="s">
        <v>98</v>
      </c>
    </row>
    <row r="39" ht="14.25" customHeight="1">
      <c r="A39" s="132" t="s">
        <v>276</v>
      </c>
      <c r="B39" s="132" t="s">
        <v>279</v>
      </c>
      <c r="C39" s="133" t="s">
        <v>98</v>
      </c>
    </row>
    <row r="40" ht="14.25" customHeight="1">
      <c r="A40" s="132" t="s">
        <v>276</v>
      </c>
      <c r="B40" s="132" t="s">
        <v>280</v>
      </c>
      <c r="C40" s="133" t="s">
        <v>251</v>
      </c>
    </row>
    <row r="41" ht="14.25" customHeight="1">
      <c r="A41" s="132" t="s">
        <v>276</v>
      </c>
      <c r="B41" s="132" t="s">
        <v>281</v>
      </c>
      <c r="C41" s="133" t="s">
        <v>98</v>
      </c>
    </row>
    <row r="42" ht="14.25" customHeight="1">
      <c r="A42" s="132" t="s">
        <v>276</v>
      </c>
      <c r="B42" s="132" t="s">
        <v>282</v>
      </c>
      <c r="C42" s="133" t="s">
        <v>98</v>
      </c>
    </row>
    <row r="43" ht="14.25" customHeight="1">
      <c r="A43" s="132" t="s">
        <v>283</v>
      </c>
      <c r="B43" s="132" t="s">
        <v>284</v>
      </c>
      <c r="C43" s="133" t="s">
        <v>272</v>
      </c>
    </row>
    <row r="44" ht="14.25" customHeight="1">
      <c r="A44" s="132" t="s">
        <v>283</v>
      </c>
      <c r="B44" s="132" t="s">
        <v>285</v>
      </c>
      <c r="C44" s="133" t="s">
        <v>251</v>
      </c>
    </row>
    <row r="45" ht="14.25" customHeight="1">
      <c r="A45" s="132" t="s">
        <v>283</v>
      </c>
      <c r="B45" s="132" t="s">
        <v>286</v>
      </c>
      <c r="C45" s="133" t="s">
        <v>98</v>
      </c>
    </row>
    <row r="46" ht="14.25" customHeight="1">
      <c r="A46" s="132" t="s">
        <v>283</v>
      </c>
      <c r="B46" s="132" t="s">
        <v>287</v>
      </c>
      <c r="C46" s="133" t="s">
        <v>98</v>
      </c>
    </row>
    <row r="47" ht="14.25" customHeight="1">
      <c r="A47" s="132" t="s">
        <v>283</v>
      </c>
      <c r="B47" s="132" t="s">
        <v>288</v>
      </c>
      <c r="C47" s="133" t="s">
        <v>234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9.14"/>
    <col customWidth="1" min="3" max="3" width="68.0"/>
    <col customWidth="1" min="4" max="26" width="10.71"/>
  </cols>
  <sheetData>
    <row r="1" ht="14.25" customHeight="1">
      <c r="A1" s="102" t="s">
        <v>225</v>
      </c>
      <c r="B1" s="136"/>
      <c r="C1" s="103"/>
    </row>
    <row r="2" ht="14.25" customHeight="1">
      <c r="A2" s="137" t="s">
        <v>303</v>
      </c>
      <c r="B2" s="17"/>
      <c r="C2" s="27"/>
    </row>
    <row r="3" ht="14.25" customHeight="1">
      <c r="A3" s="106" t="s">
        <v>305</v>
      </c>
      <c r="B3" s="129" t="s">
        <v>306</v>
      </c>
      <c r="C3" s="108" t="s">
        <v>307</v>
      </c>
    </row>
    <row r="4" ht="6.0" customHeight="1">
      <c r="A4" s="109"/>
      <c r="B4" s="131"/>
      <c r="C4" s="14"/>
    </row>
    <row r="5" ht="14.25" customHeight="1">
      <c r="A5" s="138" t="s">
        <v>309</v>
      </c>
      <c r="B5" s="139" t="s">
        <v>310</v>
      </c>
      <c r="C5" s="140" t="s">
        <v>311</v>
      </c>
    </row>
    <row r="6" ht="14.25" customHeight="1">
      <c r="A6" s="46"/>
      <c r="B6" s="141" t="s">
        <v>312</v>
      </c>
      <c r="C6" s="142" t="s">
        <v>186</v>
      </c>
    </row>
    <row r="7" ht="14.25" customHeight="1">
      <c r="A7" s="46"/>
      <c r="B7" s="141" t="s">
        <v>314</v>
      </c>
      <c r="C7" s="142" t="s">
        <v>315</v>
      </c>
    </row>
    <row r="8" ht="14.25" customHeight="1">
      <c r="A8" s="46"/>
      <c r="B8" s="141" t="s">
        <v>316</v>
      </c>
      <c r="C8" s="142" t="s">
        <v>317</v>
      </c>
    </row>
    <row r="9" ht="14.25" customHeight="1">
      <c r="A9" s="46"/>
      <c r="B9" s="141" t="s">
        <v>318</v>
      </c>
      <c r="C9" s="142"/>
    </row>
    <row r="10" ht="14.25" customHeight="1">
      <c r="A10" s="138" t="s">
        <v>319</v>
      </c>
      <c r="B10" s="139" t="s">
        <v>320</v>
      </c>
      <c r="C10" s="140" t="s">
        <v>321</v>
      </c>
    </row>
    <row r="11" ht="14.25" customHeight="1">
      <c r="A11" s="46"/>
      <c r="B11" s="141" t="s">
        <v>322</v>
      </c>
      <c r="C11" s="142" t="s">
        <v>323</v>
      </c>
    </row>
    <row r="12" ht="14.25" customHeight="1">
      <c r="A12" s="46"/>
      <c r="B12" s="141" t="s">
        <v>324</v>
      </c>
      <c r="C12" s="142" t="s">
        <v>325</v>
      </c>
    </row>
    <row r="13" ht="14.25" customHeight="1">
      <c r="A13" s="46"/>
      <c r="B13" s="141" t="s">
        <v>326</v>
      </c>
      <c r="C13" s="142" t="s">
        <v>187</v>
      </c>
    </row>
    <row r="14" ht="14.25" customHeight="1">
      <c r="A14" s="46"/>
      <c r="B14" s="143"/>
      <c r="C14" s="142" t="s">
        <v>327</v>
      </c>
    </row>
    <row r="15" ht="14.25" customHeight="1">
      <c r="A15" s="138" t="s">
        <v>319</v>
      </c>
      <c r="B15" s="139" t="s">
        <v>320</v>
      </c>
      <c r="C15" s="140" t="s">
        <v>321</v>
      </c>
    </row>
    <row r="16" ht="14.25" customHeight="1">
      <c r="A16" s="46"/>
      <c r="B16" s="141" t="s">
        <v>322</v>
      </c>
      <c r="C16" s="142" t="s">
        <v>323</v>
      </c>
    </row>
    <row r="17" ht="14.25" customHeight="1">
      <c r="A17" s="46"/>
      <c r="B17" s="141" t="s">
        <v>324</v>
      </c>
      <c r="C17" s="142" t="s">
        <v>325</v>
      </c>
    </row>
    <row r="18" ht="14.25" customHeight="1">
      <c r="A18" s="46"/>
      <c r="B18" s="141" t="s">
        <v>326</v>
      </c>
      <c r="C18" s="142" t="s">
        <v>187</v>
      </c>
    </row>
    <row r="19" ht="14.25" customHeight="1">
      <c r="A19" s="46"/>
      <c r="B19" s="143"/>
      <c r="C19" s="142" t="s">
        <v>327</v>
      </c>
    </row>
    <row r="20" ht="14.25" customHeight="1">
      <c r="A20" s="138" t="s">
        <v>329</v>
      </c>
      <c r="B20" s="139" t="s">
        <v>330</v>
      </c>
      <c r="C20" s="140" t="s">
        <v>331</v>
      </c>
    </row>
    <row r="21" ht="14.25" customHeight="1">
      <c r="A21" s="46"/>
      <c r="B21" s="141" t="s">
        <v>332</v>
      </c>
      <c r="C21" s="142" t="s">
        <v>333</v>
      </c>
    </row>
    <row r="22" ht="14.25" customHeight="1">
      <c r="A22" s="46"/>
      <c r="B22" s="141" t="s">
        <v>334</v>
      </c>
      <c r="C22" s="142" t="s">
        <v>335</v>
      </c>
    </row>
    <row r="23" ht="14.25" customHeight="1">
      <c r="A23" s="46"/>
      <c r="B23" s="141" t="s">
        <v>336</v>
      </c>
      <c r="C23" s="142" t="s">
        <v>337</v>
      </c>
    </row>
    <row r="24" ht="14.25" customHeight="1">
      <c r="A24" s="46"/>
      <c r="B24" s="141" t="s">
        <v>338</v>
      </c>
      <c r="C24" s="142" t="s">
        <v>339</v>
      </c>
    </row>
    <row r="25" ht="14.25" customHeight="1">
      <c r="A25" s="114"/>
      <c r="B25" s="144" t="s">
        <v>341</v>
      </c>
      <c r="C25" s="145"/>
    </row>
    <row r="26" ht="14.25" customHeight="1">
      <c r="A26" s="138" t="s">
        <v>343</v>
      </c>
      <c r="B26" s="139" t="s">
        <v>344</v>
      </c>
      <c r="C26" s="140" t="s">
        <v>345</v>
      </c>
    </row>
    <row r="27" ht="14.25" customHeight="1">
      <c r="A27" s="46"/>
      <c r="B27" s="141" t="s">
        <v>346</v>
      </c>
      <c r="C27" s="142" t="s">
        <v>347</v>
      </c>
    </row>
    <row r="28" ht="14.25" customHeight="1">
      <c r="A28" s="46"/>
      <c r="B28" s="141"/>
      <c r="C28" s="142" t="s">
        <v>348</v>
      </c>
    </row>
    <row r="29" ht="14.25" customHeight="1">
      <c r="A29" s="46"/>
      <c r="B29" s="141"/>
      <c r="C29" s="142" t="s">
        <v>349</v>
      </c>
    </row>
    <row r="30" ht="14.25" customHeight="1">
      <c r="A30" s="46"/>
      <c r="B30" s="141"/>
      <c r="C30" s="142" t="s">
        <v>350</v>
      </c>
    </row>
    <row r="31" ht="14.25" customHeight="1">
      <c r="A31" s="46"/>
      <c r="B31" s="141"/>
      <c r="C31" s="142" t="s">
        <v>186</v>
      </c>
    </row>
    <row r="32" ht="14.25" customHeight="1">
      <c r="A32" s="46"/>
      <c r="B32" s="141"/>
      <c r="C32" s="142" t="s">
        <v>351</v>
      </c>
    </row>
    <row r="33" ht="14.25" customHeight="1">
      <c r="A33" s="114"/>
      <c r="B33" s="144"/>
      <c r="C33" s="146" t="s">
        <v>352</v>
      </c>
    </row>
    <row r="34" ht="14.25" customHeight="1">
      <c r="A34" s="138" t="s">
        <v>354</v>
      </c>
      <c r="B34" s="139" t="s">
        <v>355</v>
      </c>
      <c r="C34" s="140" t="s">
        <v>356</v>
      </c>
    </row>
    <row r="35" ht="14.25" customHeight="1">
      <c r="A35" s="46"/>
      <c r="B35" s="141" t="s">
        <v>312</v>
      </c>
      <c r="C35" s="142" t="s">
        <v>357</v>
      </c>
    </row>
    <row r="36" ht="14.25" customHeight="1">
      <c r="A36" s="46"/>
      <c r="B36" s="141" t="s">
        <v>358</v>
      </c>
      <c r="C36" s="142" t="s">
        <v>359</v>
      </c>
    </row>
    <row r="37" ht="14.25" customHeight="1">
      <c r="A37" s="46"/>
      <c r="B37" s="141" t="s">
        <v>324</v>
      </c>
      <c r="C37" s="142" t="s">
        <v>360</v>
      </c>
    </row>
    <row r="38" ht="14.25" customHeight="1">
      <c r="A38" s="46"/>
      <c r="B38" s="141" t="s">
        <v>336</v>
      </c>
      <c r="C38" s="142" t="s">
        <v>361</v>
      </c>
    </row>
    <row r="39" ht="36.75" customHeight="1">
      <c r="A39" s="46"/>
      <c r="B39" s="147" t="s">
        <v>362</v>
      </c>
      <c r="C39" s="142" t="s">
        <v>325</v>
      </c>
    </row>
    <row r="40" ht="14.25" customHeight="1">
      <c r="A40" s="46"/>
      <c r="B40" s="148"/>
      <c r="C40" s="142" t="s">
        <v>364</v>
      </c>
    </row>
    <row r="41" ht="14.25" customHeight="1">
      <c r="A41" s="46"/>
      <c r="B41" s="148"/>
      <c r="C41" s="142" t="s">
        <v>365</v>
      </c>
    </row>
    <row r="42" ht="14.25" customHeight="1">
      <c r="A42" s="46"/>
      <c r="B42" s="148"/>
      <c r="C42" s="142" t="s">
        <v>366</v>
      </c>
    </row>
    <row r="43" ht="14.25" customHeight="1">
      <c r="A43" s="46"/>
      <c r="B43" s="148"/>
      <c r="C43" s="142" t="s">
        <v>367</v>
      </c>
    </row>
    <row r="44" ht="14.25" customHeight="1">
      <c r="A44" s="46"/>
      <c r="B44" s="148"/>
      <c r="C44" s="142" t="s">
        <v>368</v>
      </c>
    </row>
    <row r="45" ht="14.25" customHeight="1">
      <c r="A45" s="46"/>
      <c r="B45" s="148"/>
      <c r="C45" s="142" t="s">
        <v>369</v>
      </c>
    </row>
    <row r="46" ht="14.25" customHeight="1">
      <c r="A46" s="46"/>
      <c r="B46" s="148"/>
      <c r="C46" s="142" t="s">
        <v>370</v>
      </c>
    </row>
    <row r="47" ht="14.25" customHeight="1">
      <c r="A47" s="114"/>
      <c r="B47" s="149"/>
      <c r="C47" s="146" t="s">
        <v>371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C1"/>
    <mergeCell ref="A2:C2"/>
    <mergeCell ref="A5:A9"/>
    <mergeCell ref="A10:A14"/>
    <mergeCell ref="A15:A19"/>
    <mergeCell ref="A20:A25"/>
    <mergeCell ref="A26:A33"/>
    <mergeCell ref="A34:A4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5.57"/>
    <col customWidth="1" min="3" max="3" width="51.71"/>
    <col customWidth="1" min="4" max="26" width="10.71"/>
  </cols>
  <sheetData>
    <row r="1" ht="14.25" customHeight="1">
      <c r="A1" s="102" t="s">
        <v>377</v>
      </c>
      <c r="B1" s="136"/>
      <c r="C1" s="103"/>
    </row>
    <row r="2" ht="14.25" customHeight="1">
      <c r="A2" s="137" t="s">
        <v>378</v>
      </c>
      <c r="B2" s="17"/>
      <c r="C2" s="27"/>
    </row>
    <row r="3" ht="14.25" customHeight="1">
      <c r="A3" s="106" t="s">
        <v>36</v>
      </c>
      <c r="B3" s="129" t="s">
        <v>380</v>
      </c>
      <c r="C3" s="108" t="s">
        <v>381</v>
      </c>
    </row>
    <row r="4" ht="6.75" customHeight="1">
      <c r="A4" s="109"/>
      <c r="B4" s="131"/>
      <c r="C4" s="14"/>
    </row>
    <row r="5" ht="14.25" customHeight="1">
      <c r="A5" s="110" t="s">
        <v>382</v>
      </c>
      <c r="B5" s="150" t="s">
        <v>383</v>
      </c>
      <c r="C5" s="151" t="s">
        <v>275</v>
      </c>
    </row>
    <row r="6" ht="14.25" customHeight="1">
      <c r="A6" s="46"/>
      <c r="B6" s="152" t="s">
        <v>384</v>
      </c>
      <c r="C6" s="153" t="s">
        <v>239</v>
      </c>
    </row>
    <row r="7" ht="14.25" customHeight="1">
      <c r="A7" s="46"/>
      <c r="B7" s="152" t="s">
        <v>386</v>
      </c>
      <c r="C7" s="153" t="s">
        <v>241</v>
      </c>
    </row>
    <row r="8" ht="14.25" customHeight="1">
      <c r="A8" s="46"/>
      <c r="B8" s="152" t="s">
        <v>387</v>
      </c>
      <c r="C8" s="153" t="s">
        <v>255</v>
      </c>
    </row>
    <row r="9" ht="14.25" customHeight="1">
      <c r="A9" s="46"/>
      <c r="B9" s="152" t="s">
        <v>388</v>
      </c>
      <c r="C9" s="153" t="s">
        <v>284</v>
      </c>
    </row>
    <row r="10" ht="14.25" customHeight="1">
      <c r="A10" s="46"/>
      <c r="B10" s="152" t="s">
        <v>389</v>
      </c>
      <c r="C10" s="153" t="s">
        <v>390</v>
      </c>
    </row>
    <row r="11" ht="14.25" customHeight="1">
      <c r="A11" s="46"/>
      <c r="B11" s="152" t="s">
        <v>391</v>
      </c>
      <c r="C11" s="153" t="s">
        <v>247</v>
      </c>
    </row>
    <row r="12" ht="14.25" customHeight="1">
      <c r="A12" s="46"/>
      <c r="B12" s="152" t="s">
        <v>392</v>
      </c>
      <c r="C12" s="153" t="s">
        <v>393</v>
      </c>
    </row>
    <row r="13" ht="14.25" customHeight="1">
      <c r="A13" s="46"/>
      <c r="B13" s="152" t="s">
        <v>394</v>
      </c>
      <c r="C13" s="153" t="s">
        <v>393</v>
      </c>
    </row>
    <row r="14" ht="14.25" customHeight="1">
      <c r="A14" s="114"/>
      <c r="B14" s="154" t="s">
        <v>395</v>
      </c>
      <c r="C14" s="155" t="s">
        <v>393</v>
      </c>
    </row>
    <row r="15" ht="13.5" customHeight="1">
      <c r="A15" s="110" t="s">
        <v>84</v>
      </c>
      <c r="B15" s="150" t="s">
        <v>397</v>
      </c>
      <c r="C15" s="151" t="s">
        <v>285</v>
      </c>
    </row>
    <row r="16" ht="14.25" customHeight="1">
      <c r="A16" s="46"/>
      <c r="B16" s="152" t="s">
        <v>398</v>
      </c>
      <c r="C16" s="153" t="s">
        <v>285</v>
      </c>
    </row>
    <row r="17" ht="14.25" customHeight="1">
      <c r="A17" s="46"/>
      <c r="B17" s="152" t="s">
        <v>399</v>
      </c>
      <c r="C17" s="153" t="s">
        <v>285</v>
      </c>
    </row>
    <row r="18" ht="14.25" customHeight="1">
      <c r="A18" s="46"/>
      <c r="B18" s="152" t="s">
        <v>400</v>
      </c>
      <c r="C18" s="153" t="s">
        <v>285</v>
      </c>
    </row>
    <row r="19" ht="14.25" customHeight="1">
      <c r="A19" s="46"/>
      <c r="B19" s="152" t="s">
        <v>401</v>
      </c>
      <c r="C19" s="153" t="s">
        <v>285</v>
      </c>
    </row>
    <row r="20" ht="14.25" customHeight="1">
      <c r="A20" s="46"/>
      <c r="B20" s="152" t="s">
        <v>402</v>
      </c>
      <c r="C20" s="153" t="s">
        <v>285</v>
      </c>
    </row>
    <row r="21" ht="14.25" customHeight="1">
      <c r="A21" s="46"/>
      <c r="B21" s="152" t="s">
        <v>404</v>
      </c>
      <c r="C21" s="153" t="s">
        <v>405</v>
      </c>
    </row>
    <row r="22" ht="14.25" customHeight="1">
      <c r="A22" s="46"/>
      <c r="B22" s="152" t="s">
        <v>406</v>
      </c>
      <c r="C22" s="153" t="s">
        <v>405</v>
      </c>
    </row>
    <row r="23" ht="14.25" customHeight="1">
      <c r="A23" s="46"/>
      <c r="B23" s="152" t="s">
        <v>407</v>
      </c>
      <c r="C23" s="153" t="s">
        <v>284</v>
      </c>
    </row>
    <row r="24" ht="14.25" customHeight="1">
      <c r="A24" s="46"/>
      <c r="B24" s="152" t="s">
        <v>408</v>
      </c>
      <c r="C24" s="153" t="s">
        <v>284</v>
      </c>
    </row>
    <row r="25" ht="14.25" customHeight="1">
      <c r="A25" s="46"/>
      <c r="B25" s="152" t="s">
        <v>409</v>
      </c>
      <c r="C25" s="153" t="s">
        <v>284</v>
      </c>
    </row>
    <row r="26" ht="14.25" customHeight="1">
      <c r="A26" s="46"/>
      <c r="B26" s="152" t="s">
        <v>410</v>
      </c>
      <c r="C26" s="153" t="s">
        <v>284</v>
      </c>
    </row>
    <row r="27" ht="14.25" customHeight="1">
      <c r="A27" s="46"/>
      <c r="B27" s="152" t="s">
        <v>411</v>
      </c>
      <c r="C27" s="153" t="s">
        <v>412</v>
      </c>
    </row>
    <row r="28" ht="14.25" customHeight="1">
      <c r="A28" s="46"/>
      <c r="B28" s="152" t="s">
        <v>413</v>
      </c>
      <c r="C28" s="153" t="s">
        <v>412</v>
      </c>
    </row>
    <row r="29" ht="14.25" customHeight="1">
      <c r="A29" s="46"/>
      <c r="B29" s="152" t="s">
        <v>414</v>
      </c>
      <c r="C29" s="153" t="s">
        <v>412</v>
      </c>
    </row>
    <row r="30" ht="14.25" customHeight="1">
      <c r="A30" s="46"/>
      <c r="B30" s="152" t="s">
        <v>415</v>
      </c>
      <c r="C30" s="153" t="s">
        <v>416</v>
      </c>
    </row>
    <row r="31" ht="14.25" customHeight="1">
      <c r="A31" s="46"/>
      <c r="B31" s="152" t="s">
        <v>417</v>
      </c>
      <c r="C31" s="153" t="s">
        <v>274</v>
      </c>
    </row>
    <row r="32" ht="14.25" customHeight="1">
      <c r="A32" s="46"/>
      <c r="B32" s="152" t="s">
        <v>418</v>
      </c>
      <c r="C32" s="153" t="s">
        <v>274</v>
      </c>
    </row>
    <row r="33" ht="14.25" customHeight="1">
      <c r="A33" s="46"/>
      <c r="B33" s="152" t="s">
        <v>419</v>
      </c>
      <c r="C33" s="153" t="s">
        <v>274</v>
      </c>
    </row>
    <row r="34" ht="14.25" customHeight="1">
      <c r="A34" s="46"/>
      <c r="B34" s="152" t="s">
        <v>420</v>
      </c>
      <c r="C34" s="153" t="s">
        <v>268</v>
      </c>
    </row>
    <row r="35" ht="14.25" customHeight="1">
      <c r="A35" s="46"/>
      <c r="B35" s="152" t="s">
        <v>421</v>
      </c>
      <c r="C35" s="153" t="s">
        <v>268</v>
      </c>
    </row>
    <row r="36" ht="14.25" customHeight="1">
      <c r="A36" s="46"/>
      <c r="B36" s="152" t="s">
        <v>422</v>
      </c>
      <c r="C36" s="153" t="s">
        <v>393</v>
      </c>
    </row>
    <row r="37" ht="14.25" customHeight="1">
      <c r="A37" s="114"/>
      <c r="B37" s="154" t="s">
        <v>423</v>
      </c>
      <c r="C37" s="155" t="s">
        <v>277</v>
      </c>
    </row>
    <row r="38" ht="14.25" customHeight="1">
      <c r="A38" s="110" t="s">
        <v>424</v>
      </c>
      <c r="B38" s="150" t="s">
        <v>425</v>
      </c>
      <c r="C38" s="151" t="s">
        <v>287</v>
      </c>
    </row>
    <row r="39" ht="14.25" customHeight="1">
      <c r="A39" s="46"/>
      <c r="B39" s="152" t="s">
        <v>426</v>
      </c>
      <c r="C39" s="153" t="s">
        <v>427</v>
      </c>
    </row>
    <row r="40" ht="14.25" customHeight="1">
      <c r="A40" s="46"/>
      <c r="B40" s="152" t="s">
        <v>429</v>
      </c>
      <c r="C40" s="153" t="s">
        <v>427</v>
      </c>
    </row>
    <row r="41" ht="14.25" customHeight="1">
      <c r="A41" s="46"/>
      <c r="B41" s="152" t="s">
        <v>430</v>
      </c>
      <c r="C41" s="153" t="s">
        <v>253</v>
      </c>
    </row>
    <row r="42" ht="14.25" customHeight="1">
      <c r="A42" s="46"/>
      <c r="B42" s="152" t="s">
        <v>431</v>
      </c>
      <c r="C42" s="153" t="s">
        <v>253</v>
      </c>
    </row>
    <row r="43" ht="14.25" customHeight="1">
      <c r="A43" s="46"/>
      <c r="B43" s="152" t="s">
        <v>432</v>
      </c>
      <c r="C43" s="153" t="s">
        <v>412</v>
      </c>
    </row>
    <row r="44" ht="14.25" customHeight="1">
      <c r="A44" s="46"/>
      <c r="B44" s="152" t="s">
        <v>433</v>
      </c>
      <c r="C44" s="153" t="s">
        <v>260</v>
      </c>
    </row>
    <row r="45" ht="14.25" customHeight="1">
      <c r="A45" s="46"/>
      <c r="B45" s="152" t="s">
        <v>434</v>
      </c>
      <c r="C45" s="153" t="s">
        <v>260</v>
      </c>
    </row>
    <row r="46" ht="14.25" customHeight="1">
      <c r="A46" s="46"/>
      <c r="B46" s="152" t="s">
        <v>435</v>
      </c>
      <c r="C46" s="153" t="s">
        <v>140</v>
      </c>
    </row>
    <row r="47" ht="14.25" customHeight="1">
      <c r="A47" s="114"/>
      <c r="B47" s="154" t="s">
        <v>436</v>
      </c>
      <c r="C47" s="155" t="s">
        <v>277</v>
      </c>
    </row>
    <row r="48" ht="14.25" customHeight="1">
      <c r="A48" s="110" t="s">
        <v>437</v>
      </c>
      <c r="B48" s="150" t="s">
        <v>438</v>
      </c>
      <c r="C48" s="151" t="s">
        <v>288</v>
      </c>
    </row>
    <row r="49" ht="14.25" customHeight="1">
      <c r="A49" s="46"/>
      <c r="B49" s="152" t="s">
        <v>439</v>
      </c>
      <c r="C49" s="153" t="s">
        <v>239</v>
      </c>
    </row>
    <row r="50" ht="14.25" customHeight="1">
      <c r="A50" s="46"/>
      <c r="B50" s="152" t="s">
        <v>440</v>
      </c>
      <c r="C50" s="153" t="s">
        <v>284</v>
      </c>
    </row>
    <row r="51" ht="14.25" customHeight="1">
      <c r="A51" s="46"/>
      <c r="B51" s="152" t="s">
        <v>442</v>
      </c>
      <c r="C51" s="153" t="s">
        <v>284</v>
      </c>
    </row>
    <row r="52" ht="14.25" customHeight="1">
      <c r="A52" s="46"/>
      <c r="B52" s="152" t="s">
        <v>443</v>
      </c>
      <c r="C52" s="153" t="s">
        <v>284</v>
      </c>
    </row>
    <row r="53" ht="14.25" customHeight="1">
      <c r="A53" s="46"/>
      <c r="B53" s="152" t="s">
        <v>444</v>
      </c>
      <c r="C53" s="153" t="s">
        <v>416</v>
      </c>
    </row>
    <row r="54" ht="14.25" customHeight="1">
      <c r="A54" s="46"/>
      <c r="B54" s="152" t="s">
        <v>445</v>
      </c>
      <c r="C54" s="153" t="s">
        <v>393</v>
      </c>
    </row>
    <row r="55" ht="14.25" customHeight="1">
      <c r="A55" s="114"/>
      <c r="B55" s="154" t="s">
        <v>446</v>
      </c>
      <c r="C55" s="155" t="s">
        <v>277</v>
      </c>
    </row>
    <row r="56" ht="14.25" customHeight="1">
      <c r="A56" s="110" t="s">
        <v>447</v>
      </c>
      <c r="B56" s="150" t="s">
        <v>448</v>
      </c>
      <c r="C56" s="151" t="s">
        <v>239</v>
      </c>
    </row>
    <row r="57" ht="14.25" customHeight="1">
      <c r="A57" s="46"/>
      <c r="B57" s="152" t="s">
        <v>449</v>
      </c>
      <c r="C57" s="153" t="s">
        <v>248</v>
      </c>
    </row>
    <row r="58" ht="14.25" customHeight="1">
      <c r="A58" s="46"/>
      <c r="B58" s="152" t="s">
        <v>450</v>
      </c>
      <c r="C58" s="153" t="s">
        <v>390</v>
      </c>
    </row>
    <row r="59" ht="14.25" customHeight="1">
      <c r="A59" s="114"/>
      <c r="B59" s="154" t="s">
        <v>422</v>
      </c>
      <c r="C59" s="155" t="s">
        <v>263</v>
      </c>
    </row>
    <row r="60" ht="14.25" customHeight="1">
      <c r="A60" s="110" t="s">
        <v>451</v>
      </c>
      <c r="B60" s="150" t="s">
        <v>452</v>
      </c>
      <c r="C60" s="151" t="s">
        <v>285</v>
      </c>
    </row>
    <row r="61" ht="14.25" customHeight="1">
      <c r="A61" s="46"/>
      <c r="B61" s="152" t="s">
        <v>453</v>
      </c>
      <c r="C61" s="153" t="s">
        <v>285</v>
      </c>
    </row>
    <row r="62" ht="14.25" customHeight="1">
      <c r="A62" s="46"/>
      <c r="B62" s="152" t="s">
        <v>454</v>
      </c>
      <c r="C62" s="153" t="s">
        <v>285</v>
      </c>
    </row>
    <row r="63" ht="14.25" customHeight="1">
      <c r="A63" s="46"/>
      <c r="B63" s="152" t="s">
        <v>455</v>
      </c>
      <c r="C63" s="153" t="s">
        <v>285</v>
      </c>
    </row>
    <row r="64" ht="14.25" customHeight="1">
      <c r="A64" s="46"/>
      <c r="B64" s="152" t="s">
        <v>457</v>
      </c>
      <c r="C64" s="153" t="s">
        <v>285</v>
      </c>
    </row>
    <row r="65" ht="32.25" customHeight="1">
      <c r="A65" s="46"/>
      <c r="B65" s="152" t="s">
        <v>458</v>
      </c>
      <c r="C65" s="153" t="s">
        <v>285</v>
      </c>
    </row>
    <row r="66" ht="14.25" customHeight="1">
      <c r="A66" s="46"/>
      <c r="B66" s="152" t="s">
        <v>459</v>
      </c>
      <c r="C66" s="153" t="s">
        <v>285</v>
      </c>
    </row>
    <row r="67" ht="14.25" customHeight="1">
      <c r="A67" s="46"/>
      <c r="B67" s="152" t="s">
        <v>460</v>
      </c>
      <c r="C67" s="153" t="s">
        <v>461</v>
      </c>
    </row>
    <row r="68" ht="14.25" customHeight="1">
      <c r="A68" s="46"/>
      <c r="B68" s="152" t="s">
        <v>462</v>
      </c>
      <c r="C68" s="153" t="s">
        <v>463</v>
      </c>
    </row>
    <row r="69" ht="14.25" customHeight="1">
      <c r="A69" s="46"/>
      <c r="B69" s="152" t="s">
        <v>464</v>
      </c>
      <c r="C69" s="153" t="s">
        <v>463</v>
      </c>
    </row>
    <row r="70" ht="14.25" customHeight="1">
      <c r="A70" s="46"/>
      <c r="B70" s="152" t="s">
        <v>465</v>
      </c>
      <c r="C70" s="153" t="s">
        <v>405</v>
      </c>
    </row>
    <row r="71" ht="14.25" customHeight="1">
      <c r="A71" s="46"/>
      <c r="B71" s="152" t="s">
        <v>466</v>
      </c>
      <c r="C71" s="153" t="s">
        <v>405</v>
      </c>
    </row>
    <row r="72" ht="14.25" customHeight="1">
      <c r="A72" s="46"/>
      <c r="B72" s="152" t="s">
        <v>467</v>
      </c>
      <c r="C72" s="153" t="s">
        <v>265</v>
      </c>
    </row>
    <row r="73" ht="14.25" customHeight="1">
      <c r="A73" s="46"/>
      <c r="B73" s="152" t="s">
        <v>468</v>
      </c>
      <c r="C73" s="153" t="s">
        <v>287</v>
      </c>
    </row>
    <row r="74" ht="14.25" customHeight="1">
      <c r="A74" s="46"/>
      <c r="B74" s="152" t="s">
        <v>470</v>
      </c>
      <c r="C74" s="153" t="s">
        <v>271</v>
      </c>
    </row>
    <row r="75" ht="14.25" customHeight="1">
      <c r="A75" s="46"/>
      <c r="B75" s="152" t="s">
        <v>471</v>
      </c>
      <c r="C75" s="153" t="s">
        <v>284</v>
      </c>
    </row>
    <row r="76" ht="14.25" customHeight="1">
      <c r="A76" s="46"/>
      <c r="B76" s="152" t="s">
        <v>472</v>
      </c>
      <c r="C76" s="153" t="s">
        <v>284</v>
      </c>
    </row>
    <row r="77" ht="14.25" customHeight="1">
      <c r="A77" s="46"/>
      <c r="B77" s="152" t="s">
        <v>473</v>
      </c>
      <c r="C77" s="153" t="s">
        <v>284</v>
      </c>
    </row>
    <row r="78" ht="14.25" customHeight="1">
      <c r="A78" s="46"/>
      <c r="B78" s="152" t="s">
        <v>474</v>
      </c>
      <c r="C78" s="153" t="s">
        <v>284</v>
      </c>
    </row>
    <row r="79" ht="14.25" customHeight="1">
      <c r="A79" s="46"/>
      <c r="B79" s="152" t="s">
        <v>475</v>
      </c>
      <c r="C79" s="153" t="s">
        <v>284</v>
      </c>
    </row>
    <row r="80" ht="14.25" customHeight="1">
      <c r="A80" s="46"/>
      <c r="B80" s="152" t="s">
        <v>476</v>
      </c>
      <c r="C80" s="153" t="s">
        <v>416</v>
      </c>
    </row>
    <row r="81" ht="14.25" customHeight="1">
      <c r="A81" s="46"/>
      <c r="B81" s="152" t="s">
        <v>477</v>
      </c>
      <c r="C81" s="153" t="s">
        <v>263</v>
      </c>
    </row>
    <row r="82" ht="14.25" customHeight="1">
      <c r="A82" s="46"/>
      <c r="B82" s="152" t="s">
        <v>478</v>
      </c>
      <c r="C82" s="153" t="s">
        <v>263</v>
      </c>
    </row>
    <row r="83" ht="14.25" customHeight="1">
      <c r="A83" s="46"/>
      <c r="B83" s="152" t="s">
        <v>479</v>
      </c>
      <c r="C83" s="153" t="s">
        <v>263</v>
      </c>
    </row>
    <row r="84" ht="14.25" customHeight="1">
      <c r="A84" s="46"/>
      <c r="B84" s="152" t="s">
        <v>480</v>
      </c>
      <c r="C84" s="153" t="s">
        <v>393</v>
      </c>
    </row>
    <row r="85" ht="14.25" customHeight="1">
      <c r="A85" s="46"/>
      <c r="B85" s="152" t="s">
        <v>481</v>
      </c>
      <c r="C85" s="153" t="s">
        <v>393</v>
      </c>
    </row>
    <row r="86" ht="14.25" customHeight="1">
      <c r="A86" s="46"/>
      <c r="B86" s="152" t="s">
        <v>482</v>
      </c>
      <c r="C86" s="153" t="s">
        <v>393</v>
      </c>
    </row>
    <row r="87" ht="14.25" customHeight="1">
      <c r="A87" s="46"/>
      <c r="B87" s="152" t="s">
        <v>484</v>
      </c>
      <c r="C87" s="153" t="s">
        <v>485</v>
      </c>
    </row>
    <row r="88" ht="29.25" customHeight="1">
      <c r="A88" s="46"/>
      <c r="B88" s="152" t="s">
        <v>486</v>
      </c>
      <c r="C88" s="153" t="s">
        <v>485</v>
      </c>
    </row>
    <row r="89" ht="14.25" customHeight="1">
      <c r="A89" s="114"/>
      <c r="B89" s="154" t="s">
        <v>487</v>
      </c>
      <c r="C89" s="155" t="s">
        <v>488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C1"/>
    <mergeCell ref="A2:C2"/>
    <mergeCell ref="A5:A14"/>
    <mergeCell ref="A15:A37"/>
    <mergeCell ref="A38:A47"/>
    <mergeCell ref="A48:A55"/>
    <mergeCell ref="A56:A59"/>
    <mergeCell ref="A60:A8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7.29"/>
    <col customWidth="1" min="3" max="3" width="4.71"/>
    <col customWidth="1" min="4" max="4" width="18.0"/>
    <col customWidth="1" min="5" max="6" width="4.71"/>
    <col customWidth="1" min="7" max="7" width="13.14"/>
    <col customWidth="1" min="8" max="8" width="5.43"/>
    <col customWidth="1" min="9" max="9" width="46.29"/>
    <col customWidth="1" min="10" max="10" width="3.29"/>
    <col customWidth="1" min="11" max="11" width="14.29"/>
    <col customWidth="1" min="12" max="12" width="5.43"/>
    <col customWidth="1" min="13" max="13" width="60.29"/>
    <col customWidth="1" min="14" max="14" width="5.0"/>
    <col customWidth="1" min="15" max="15" width="8.86"/>
    <col customWidth="1" min="16" max="16" width="19.29"/>
    <col customWidth="1" min="17" max="17" width="17.29"/>
    <col customWidth="1" min="18" max="18" width="12.57"/>
    <col customWidth="1" min="19" max="19" width="11.29"/>
    <col customWidth="1" min="20" max="20" width="10.14"/>
    <col customWidth="1" min="21" max="21" width="13.71"/>
    <col customWidth="1" min="22" max="22" width="22.29"/>
    <col customWidth="1" min="23" max="23" width="18.86"/>
    <col customWidth="1" min="24" max="24" width="29.86"/>
    <col customWidth="1" min="25" max="25" width="7.29"/>
    <col customWidth="1" min="26" max="26" width="13.29"/>
  </cols>
  <sheetData>
    <row r="1" ht="14.25" customHeight="1">
      <c r="A1" s="158" t="s">
        <v>494</v>
      </c>
      <c r="I1" s="158" t="s">
        <v>496</v>
      </c>
    </row>
    <row r="2" ht="14.25" customHeight="1">
      <c r="A2" s="158" t="s">
        <v>497</v>
      </c>
    </row>
    <row r="3" ht="14.25" customHeight="1">
      <c r="A3" s="158"/>
      <c r="O3" s="159" t="s">
        <v>498</v>
      </c>
      <c r="P3" s="37"/>
      <c r="Q3" s="37"/>
      <c r="R3" s="37"/>
      <c r="S3" s="37"/>
      <c r="T3" s="37"/>
      <c r="U3" s="160"/>
    </row>
    <row r="4" ht="14.25" customHeight="1">
      <c r="A4" s="158"/>
      <c r="B4" s="161" t="s">
        <v>501</v>
      </c>
      <c r="C4" s="37"/>
      <c r="D4" s="37"/>
      <c r="E4" s="160"/>
      <c r="O4" s="162" t="s">
        <v>37</v>
      </c>
      <c r="P4" s="34"/>
      <c r="Q4" s="36" t="s">
        <v>20</v>
      </c>
      <c r="R4" s="37"/>
      <c r="S4" s="37"/>
      <c r="T4" s="37"/>
      <c r="U4" s="160"/>
    </row>
    <row r="5" ht="14.25" customHeight="1">
      <c r="B5" s="163" t="s">
        <v>503</v>
      </c>
      <c r="C5" s="164"/>
      <c r="D5" s="164"/>
      <c r="E5" s="34"/>
      <c r="F5" s="165"/>
      <c r="O5" s="166"/>
      <c r="P5" s="47"/>
      <c r="Q5" s="49" t="s">
        <v>75</v>
      </c>
      <c r="R5" s="49" t="s">
        <v>505</v>
      </c>
      <c r="S5" s="49" t="s">
        <v>506</v>
      </c>
      <c r="T5" s="49" t="s">
        <v>507</v>
      </c>
      <c r="U5" s="49" t="s">
        <v>508</v>
      </c>
    </row>
    <row r="6" ht="14.25" customHeight="1">
      <c r="B6" s="167" t="s">
        <v>20</v>
      </c>
      <c r="C6" s="8"/>
      <c r="D6" s="167" t="s">
        <v>25</v>
      </c>
      <c r="E6" s="8"/>
      <c r="F6" s="165"/>
      <c r="O6" s="168"/>
      <c r="P6" s="60"/>
      <c r="Q6" s="62"/>
      <c r="R6" s="62"/>
      <c r="S6" s="62"/>
      <c r="T6" s="62"/>
      <c r="U6" s="62"/>
    </row>
    <row r="7" ht="14.25" customHeight="1">
      <c r="B7" s="169" t="s">
        <v>512</v>
      </c>
      <c r="C7" s="170">
        <v>1.0</v>
      </c>
      <c r="D7" s="169" t="s">
        <v>513</v>
      </c>
      <c r="E7" s="170">
        <v>1.0</v>
      </c>
      <c r="F7" s="165"/>
      <c r="O7" s="171" t="s">
        <v>25</v>
      </c>
      <c r="P7" s="70" t="s">
        <v>122</v>
      </c>
      <c r="Q7" s="172">
        <v>5.0</v>
      </c>
      <c r="R7" s="72">
        <v>10.0</v>
      </c>
      <c r="S7" s="72">
        <v>15.0</v>
      </c>
      <c r="T7" s="72">
        <v>20.0</v>
      </c>
      <c r="U7" s="75">
        <v>25.0</v>
      </c>
    </row>
    <row r="8" ht="14.25" customHeight="1">
      <c r="B8" s="173" t="s">
        <v>515</v>
      </c>
      <c r="C8" s="174">
        <v>2.0</v>
      </c>
      <c r="D8" s="173" t="s">
        <v>517</v>
      </c>
      <c r="E8" s="174">
        <v>2.0</v>
      </c>
      <c r="F8" s="165"/>
      <c r="O8" s="175"/>
      <c r="P8" s="70" t="s">
        <v>138</v>
      </c>
      <c r="Q8" s="176">
        <v>4.0</v>
      </c>
      <c r="R8" s="177">
        <v>8.0</v>
      </c>
      <c r="S8" s="80">
        <v>12.0</v>
      </c>
      <c r="T8" s="80">
        <v>16.0</v>
      </c>
      <c r="U8" s="83">
        <v>20.0</v>
      </c>
    </row>
    <row r="9" ht="14.25" customHeight="1">
      <c r="B9" s="173" t="s">
        <v>519</v>
      </c>
      <c r="C9" s="174">
        <v>3.0</v>
      </c>
      <c r="D9" s="173" t="s">
        <v>199</v>
      </c>
      <c r="E9" s="174">
        <v>3.0</v>
      </c>
      <c r="F9" s="165"/>
      <c r="O9" s="175"/>
      <c r="P9" s="70" t="s">
        <v>158</v>
      </c>
      <c r="Q9" s="85">
        <v>3.0</v>
      </c>
      <c r="R9" s="86">
        <v>6.0</v>
      </c>
      <c r="S9" s="177">
        <v>9.0</v>
      </c>
      <c r="T9" s="177">
        <v>12.0</v>
      </c>
      <c r="U9" s="83">
        <v>15.0</v>
      </c>
    </row>
    <row r="10" ht="14.25" customHeight="1">
      <c r="B10" s="173" t="s">
        <v>521</v>
      </c>
      <c r="C10" s="174">
        <v>4.0</v>
      </c>
      <c r="D10" s="173" t="s">
        <v>522</v>
      </c>
      <c r="E10" s="174">
        <v>4.0</v>
      </c>
      <c r="F10" s="165"/>
      <c r="O10" s="175"/>
      <c r="P10" s="70" t="s">
        <v>165</v>
      </c>
      <c r="Q10" s="88">
        <v>2.0</v>
      </c>
      <c r="R10" s="89">
        <v>4.0</v>
      </c>
      <c r="S10" s="86">
        <v>6.0</v>
      </c>
      <c r="T10" s="177">
        <v>8.0</v>
      </c>
      <c r="U10" s="178">
        <v>10.0</v>
      </c>
    </row>
    <row r="11" ht="14.25" customHeight="1">
      <c r="B11" s="179" t="s">
        <v>524</v>
      </c>
      <c r="C11" s="180">
        <v>5.0</v>
      </c>
      <c r="D11" s="179" t="s">
        <v>526</v>
      </c>
      <c r="E11" s="180">
        <v>5.0</v>
      </c>
      <c r="F11" s="165"/>
      <c r="O11" s="181"/>
      <c r="P11" s="70" t="s">
        <v>176</v>
      </c>
      <c r="Q11" s="94">
        <v>1.0</v>
      </c>
      <c r="R11" s="95">
        <v>2.0</v>
      </c>
      <c r="S11" s="95">
        <v>3.0</v>
      </c>
      <c r="T11" s="96">
        <v>4.0</v>
      </c>
      <c r="U11" s="99">
        <v>5.0</v>
      </c>
    </row>
    <row r="12" ht="14.25" customHeight="1">
      <c r="B12" s="182"/>
      <c r="C12" s="182"/>
      <c r="D12" s="182"/>
      <c r="E12" s="182"/>
      <c r="F12" s="165"/>
      <c r="G12" s="161" t="s">
        <v>529</v>
      </c>
      <c r="H12" s="37"/>
      <c r="I12" s="37"/>
      <c r="J12" s="37"/>
      <c r="K12" s="37"/>
      <c r="L12" s="37"/>
      <c r="M12" s="160"/>
    </row>
    <row r="13" ht="15.0" customHeight="1">
      <c r="G13" s="183" t="s">
        <v>530</v>
      </c>
      <c r="H13" s="184"/>
      <c r="I13" s="185"/>
      <c r="K13" s="183" t="s">
        <v>532</v>
      </c>
      <c r="L13" s="184"/>
      <c r="M13" s="185"/>
    </row>
    <row r="14" ht="14.25" customHeight="1">
      <c r="D14" s="186"/>
      <c r="G14" s="187" t="s">
        <v>533</v>
      </c>
      <c r="H14" s="187" t="s">
        <v>534</v>
      </c>
      <c r="I14" s="187" t="s">
        <v>536</v>
      </c>
      <c r="K14" s="187" t="s">
        <v>533</v>
      </c>
      <c r="L14" s="187" t="s">
        <v>534</v>
      </c>
      <c r="M14" s="187" t="s">
        <v>537</v>
      </c>
    </row>
    <row r="15" ht="73.5" customHeight="1">
      <c r="G15" s="189" t="s">
        <v>538</v>
      </c>
      <c r="H15" s="190">
        <v>1.0</v>
      </c>
      <c r="I15" s="191" t="s">
        <v>539</v>
      </c>
      <c r="K15" s="189" t="s">
        <v>541</v>
      </c>
      <c r="L15" s="190">
        <v>1.0</v>
      </c>
      <c r="M15" s="191" t="s">
        <v>543</v>
      </c>
    </row>
    <row r="16" ht="14.25" customHeight="1">
      <c r="G16" s="189" t="s">
        <v>544</v>
      </c>
      <c r="H16" s="190">
        <v>2.0</v>
      </c>
      <c r="I16" s="191" t="s">
        <v>545</v>
      </c>
      <c r="K16" s="189" t="s">
        <v>546</v>
      </c>
      <c r="L16" s="190">
        <v>2.0</v>
      </c>
      <c r="M16" s="191" t="s">
        <v>547</v>
      </c>
    </row>
    <row r="17" ht="14.25" customHeight="1">
      <c r="G17" s="189" t="s">
        <v>548</v>
      </c>
      <c r="H17" s="190">
        <v>3.0</v>
      </c>
      <c r="I17" s="191" t="s">
        <v>549</v>
      </c>
      <c r="K17" s="189" t="s">
        <v>548</v>
      </c>
      <c r="L17" s="190">
        <v>3.0</v>
      </c>
      <c r="M17" s="191" t="s">
        <v>550</v>
      </c>
    </row>
    <row r="18" ht="14.25" customHeight="1">
      <c r="G18" s="189" t="s">
        <v>551</v>
      </c>
      <c r="H18" s="190">
        <v>4.0</v>
      </c>
      <c r="I18" s="191" t="s">
        <v>552</v>
      </c>
      <c r="K18" s="189" t="s">
        <v>553</v>
      </c>
      <c r="L18" s="190">
        <v>4.0</v>
      </c>
      <c r="M18" s="191" t="s">
        <v>554</v>
      </c>
    </row>
    <row r="19" ht="14.25" customHeight="1">
      <c r="G19" s="192" t="s">
        <v>556</v>
      </c>
      <c r="H19" s="190">
        <v>5.0</v>
      </c>
      <c r="I19" s="191" t="s">
        <v>557</v>
      </c>
      <c r="K19" s="192" t="s">
        <v>558</v>
      </c>
      <c r="L19" s="190">
        <v>5.0</v>
      </c>
      <c r="M19" s="191" t="s">
        <v>559</v>
      </c>
    </row>
    <row r="20" ht="14.25" customHeight="1">
      <c r="V20" s="159" t="s">
        <v>560</v>
      </c>
      <c r="W20" s="37"/>
      <c r="X20" s="37"/>
      <c r="Y20" s="37"/>
      <c r="Z20" s="160"/>
    </row>
    <row r="21" ht="14.25" customHeight="1">
      <c r="V21" s="193" t="s">
        <v>561</v>
      </c>
      <c r="W21" s="37"/>
      <c r="X21" s="160"/>
      <c r="Y21" s="193" t="s">
        <v>563</v>
      </c>
      <c r="Z21" s="160"/>
    </row>
    <row r="22" ht="14.25" customHeight="1">
      <c r="V22" s="194" t="s">
        <v>564</v>
      </c>
      <c r="W22" s="194" t="s">
        <v>565</v>
      </c>
      <c r="X22" s="194" t="s">
        <v>567</v>
      </c>
      <c r="Y22" s="194" t="s">
        <v>534</v>
      </c>
      <c r="Z22" s="194" t="s">
        <v>533</v>
      </c>
    </row>
    <row r="23" ht="14.25" customHeight="1">
      <c r="V23" s="195" t="s">
        <v>569</v>
      </c>
      <c r="W23" s="195" t="s">
        <v>570</v>
      </c>
      <c r="X23" s="195" t="str">
        <f t="shared" ref="X23:X47" si="1">V23&amp; " " &amp;W23</f>
        <v>5. Casi Certeza 5. Catastrófico</v>
      </c>
      <c r="Y23" s="195">
        <v>25.0</v>
      </c>
      <c r="Z23" s="196" t="s">
        <v>113</v>
      </c>
    </row>
    <row r="24" ht="14.25" customHeight="1">
      <c r="V24" s="195" t="s">
        <v>569</v>
      </c>
      <c r="W24" s="195" t="s">
        <v>572</v>
      </c>
      <c r="X24" s="195" t="str">
        <f t="shared" si="1"/>
        <v>5. Casi Certeza 4. Mayores</v>
      </c>
      <c r="Y24" s="195">
        <v>20.0</v>
      </c>
      <c r="Z24" s="196" t="s">
        <v>113</v>
      </c>
    </row>
    <row r="25" ht="14.25" customHeight="1">
      <c r="O25" s="197"/>
      <c r="P25" s="197"/>
      <c r="Q25" s="197"/>
      <c r="R25" s="197"/>
      <c r="S25" s="197"/>
      <c r="T25" s="197"/>
      <c r="U25" s="197"/>
      <c r="V25" s="195" t="s">
        <v>574</v>
      </c>
      <c r="W25" s="195" t="s">
        <v>570</v>
      </c>
      <c r="X25" s="195" t="str">
        <f t="shared" si="1"/>
        <v>4. Probable 5. Catastrófico</v>
      </c>
      <c r="Y25" s="195">
        <v>20.0</v>
      </c>
      <c r="Z25" s="196" t="s">
        <v>113</v>
      </c>
    </row>
    <row r="26" ht="14.25" customHeight="1">
      <c r="O26" s="197"/>
      <c r="P26" s="197"/>
      <c r="Q26" s="198"/>
      <c r="R26" s="199"/>
      <c r="S26" s="199"/>
      <c r="T26" s="199"/>
      <c r="U26" s="199"/>
      <c r="V26" s="195" t="s">
        <v>574</v>
      </c>
      <c r="W26" s="195" t="s">
        <v>572</v>
      </c>
      <c r="X26" s="195" t="str">
        <f t="shared" si="1"/>
        <v>4. Probable 4. Mayores</v>
      </c>
      <c r="Y26" s="195">
        <v>16.0</v>
      </c>
      <c r="Z26" s="196" t="s">
        <v>113</v>
      </c>
    </row>
    <row r="27" ht="14.25" customHeight="1">
      <c r="O27" s="197"/>
      <c r="P27" s="197"/>
      <c r="Q27" s="198"/>
      <c r="V27" s="195" t="s">
        <v>569</v>
      </c>
      <c r="W27" s="195" t="s">
        <v>576</v>
      </c>
      <c r="X27" s="195" t="str">
        <f t="shared" si="1"/>
        <v>5. Casi Certeza 3. Moderadas</v>
      </c>
      <c r="Y27" s="195">
        <v>15.0</v>
      </c>
      <c r="Z27" s="196" t="s">
        <v>113</v>
      </c>
    </row>
    <row r="28" ht="14.25" customHeight="1">
      <c r="O28" s="200"/>
      <c r="P28" s="201"/>
      <c r="Q28" s="202"/>
      <c r="R28" s="202"/>
      <c r="S28" s="202"/>
      <c r="T28" s="202"/>
      <c r="U28" s="202"/>
      <c r="V28" s="195" t="s">
        <v>577</v>
      </c>
      <c r="W28" s="195" t="s">
        <v>570</v>
      </c>
      <c r="X28" s="195" t="str">
        <f t="shared" si="1"/>
        <v>3. Moderado 5. Catastrófico</v>
      </c>
      <c r="Y28" s="195">
        <v>15.0</v>
      </c>
      <c r="Z28" s="196" t="s">
        <v>113</v>
      </c>
    </row>
    <row r="29" ht="14.25" customHeight="1">
      <c r="O29" s="200"/>
      <c r="P29" s="201"/>
      <c r="Q29" s="202"/>
      <c r="R29" s="202"/>
      <c r="S29" s="202"/>
      <c r="T29" s="202"/>
      <c r="U29" s="202"/>
      <c r="V29" s="195" t="s">
        <v>577</v>
      </c>
      <c r="W29" s="195" t="s">
        <v>572</v>
      </c>
      <c r="X29" s="195" t="str">
        <f t="shared" si="1"/>
        <v>3. Moderado 4. Mayores</v>
      </c>
      <c r="Y29" s="195">
        <v>12.0</v>
      </c>
      <c r="Z29" s="196" t="s">
        <v>113</v>
      </c>
    </row>
    <row r="30" ht="14.25" customHeight="1">
      <c r="O30" s="200"/>
      <c r="P30" s="201"/>
      <c r="Q30" s="202"/>
      <c r="R30" s="202"/>
      <c r="S30" s="202"/>
      <c r="T30" s="202"/>
      <c r="U30" s="203"/>
      <c r="V30" s="195" t="s">
        <v>574</v>
      </c>
      <c r="W30" s="195" t="s">
        <v>576</v>
      </c>
      <c r="X30" s="195" t="str">
        <f t="shared" si="1"/>
        <v>4. Probable 3. Moderadas</v>
      </c>
      <c r="Y30" s="195">
        <v>12.0</v>
      </c>
      <c r="Z30" s="196" t="s">
        <v>102</v>
      </c>
    </row>
    <row r="31" ht="14.25" customHeight="1">
      <c r="O31" s="200"/>
      <c r="P31" s="201"/>
      <c r="Q31" s="202"/>
      <c r="R31" s="202"/>
      <c r="S31" s="203"/>
      <c r="T31" s="203"/>
      <c r="U31" s="203"/>
      <c r="V31" s="195" t="s">
        <v>580</v>
      </c>
      <c r="W31" s="195" t="s">
        <v>570</v>
      </c>
      <c r="X31" s="195" t="str">
        <f t="shared" si="1"/>
        <v>2. Improbable 5. Catastrófico</v>
      </c>
      <c r="Y31" s="195">
        <v>10.0</v>
      </c>
      <c r="Z31" s="196" t="s">
        <v>113</v>
      </c>
    </row>
    <row r="32" ht="14.25" customHeight="1">
      <c r="O32" s="200"/>
      <c r="P32" s="201"/>
      <c r="Q32" s="202"/>
      <c r="R32" s="203"/>
      <c r="S32" s="203"/>
      <c r="T32" s="203"/>
      <c r="U32" s="203"/>
      <c r="V32" s="195" t="s">
        <v>569</v>
      </c>
      <c r="W32" s="195" t="s">
        <v>581</v>
      </c>
      <c r="X32" s="195" t="str">
        <f t="shared" si="1"/>
        <v>5. Casi Certeza 2. Menores</v>
      </c>
      <c r="Y32" s="195">
        <v>10.0</v>
      </c>
      <c r="Z32" s="196" t="s">
        <v>102</v>
      </c>
    </row>
    <row r="33" ht="14.25" customHeight="1">
      <c r="V33" s="195" t="s">
        <v>577</v>
      </c>
      <c r="W33" s="195" t="s">
        <v>576</v>
      </c>
      <c r="X33" s="195" t="str">
        <f t="shared" si="1"/>
        <v>3. Moderado 3. Moderadas</v>
      </c>
      <c r="Y33" s="195">
        <v>9.0</v>
      </c>
      <c r="Z33" s="196" t="s">
        <v>102</v>
      </c>
    </row>
    <row r="34" ht="14.25" customHeight="1">
      <c r="V34" s="195" t="s">
        <v>574</v>
      </c>
      <c r="W34" s="195" t="s">
        <v>581</v>
      </c>
      <c r="X34" s="195" t="str">
        <f t="shared" si="1"/>
        <v>4. Probable 2. Menores</v>
      </c>
      <c r="Y34" s="195">
        <v>8.0</v>
      </c>
      <c r="Z34" s="196" t="s">
        <v>102</v>
      </c>
    </row>
    <row r="35" ht="14.25" customHeight="1">
      <c r="V35" s="195" t="s">
        <v>580</v>
      </c>
      <c r="W35" s="195" t="s">
        <v>572</v>
      </c>
      <c r="X35" s="195" t="str">
        <f t="shared" si="1"/>
        <v>2. Improbable 4. Mayores</v>
      </c>
      <c r="Y35" s="195">
        <v>8.0</v>
      </c>
      <c r="Z35" s="196" t="s">
        <v>102</v>
      </c>
    </row>
    <row r="36" ht="14.25" customHeight="1">
      <c r="V36" s="195" t="s">
        <v>577</v>
      </c>
      <c r="W36" s="195" t="s">
        <v>581</v>
      </c>
      <c r="X36" s="195" t="str">
        <f t="shared" si="1"/>
        <v>3. Moderado 2. Menores</v>
      </c>
      <c r="Y36" s="195">
        <v>6.0</v>
      </c>
      <c r="Z36" s="196" t="s">
        <v>199</v>
      </c>
    </row>
    <row r="37" ht="14.25" customHeight="1">
      <c r="V37" s="195" t="s">
        <v>580</v>
      </c>
      <c r="W37" s="195" t="s">
        <v>576</v>
      </c>
      <c r="X37" s="195" t="str">
        <f t="shared" si="1"/>
        <v>2. Improbable 3. Moderadas</v>
      </c>
      <c r="Y37" s="195">
        <v>6.0</v>
      </c>
      <c r="Z37" s="196" t="s">
        <v>199</v>
      </c>
    </row>
    <row r="38" ht="14.25" customHeight="1">
      <c r="V38" s="195" t="s">
        <v>569</v>
      </c>
      <c r="W38" s="195" t="s">
        <v>585</v>
      </c>
      <c r="X38" s="195" t="str">
        <f t="shared" si="1"/>
        <v>5. Casi Certeza 1. Insignificantes</v>
      </c>
      <c r="Y38" s="195">
        <v>5.0</v>
      </c>
      <c r="Z38" s="196" t="s">
        <v>199</v>
      </c>
    </row>
    <row r="39" ht="14.25" customHeight="1">
      <c r="V39" s="195" t="s">
        <v>586</v>
      </c>
      <c r="W39" s="195" t="s">
        <v>570</v>
      </c>
      <c r="X39" s="195" t="str">
        <f t="shared" si="1"/>
        <v>1. Muy Improbable 5. Catastrófico</v>
      </c>
      <c r="Y39" s="195">
        <v>5.0</v>
      </c>
      <c r="Z39" s="196" t="s">
        <v>102</v>
      </c>
    </row>
    <row r="40" ht="14.25" customHeight="1">
      <c r="V40" s="195" t="s">
        <v>574</v>
      </c>
      <c r="W40" s="195" t="s">
        <v>585</v>
      </c>
      <c r="X40" s="195" t="str">
        <f t="shared" si="1"/>
        <v>4. Probable 1. Insignificantes</v>
      </c>
      <c r="Y40" s="195">
        <v>4.0</v>
      </c>
      <c r="Z40" s="196" t="s">
        <v>199</v>
      </c>
    </row>
    <row r="41" ht="14.25" customHeight="1">
      <c r="V41" s="195" t="s">
        <v>580</v>
      </c>
      <c r="W41" s="195" t="s">
        <v>581</v>
      </c>
      <c r="X41" s="195" t="str">
        <f t="shared" si="1"/>
        <v>2. Improbable 2. Menores</v>
      </c>
      <c r="Y41" s="195">
        <v>4.0</v>
      </c>
      <c r="Z41" s="196" t="s">
        <v>588</v>
      </c>
    </row>
    <row r="42" ht="14.25" customHeight="1">
      <c r="V42" s="195" t="s">
        <v>586</v>
      </c>
      <c r="W42" s="195" t="s">
        <v>572</v>
      </c>
      <c r="X42" s="195" t="str">
        <f t="shared" si="1"/>
        <v>1. Muy Improbable 4. Mayores</v>
      </c>
      <c r="Y42" s="195">
        <v>4.0</v>
      </c>
      <c r="Z42" s="196" t="s">
        <v>102</v>
      </c>
    </row>
    <row r="43" ht="14.25" customHeight="1">
      <c r="V43" s="195" t="s">
        <v>577</v>
      </c>
      <c r="W43" s="195" t="s">
        <v>585</v>
      </c>
      <c r="X43" s="195" t="str">
        <f t="shared" si="1"/>
        <v>3. Moderado 1. Insignificantes</v>
      </c>
      <c r="Y43" s="195">
        <v>3.0</v>
      </c>
      <c r="Z43" s="196" t="s">
        <v>588</v>
      </c>
    </row>
    <row r="44" ht="14.25" customHeight="1">
      <c r="V44" s="195" t="s">
        <v>586</v>
      </c>
      <c r="W44" s="195" t="s">
        <v>576</v>
      </c>
      <c r="X44" s="195" t="str">
        <f t="shared" si="1"/>
        <v>1. Muy Improbable 3. Moderadas</v>
      </c>
      <c r="Y44" s="195">
        <v>3.0</v>
      </c>
      <c r="Z44" s="196" t="s">
        <v>199</v>
      </c>
    </row>
    <row r="45" ht="14.25" customHeight="1">
      <c r="V45" s="195" t="s">
        <v>580</v>
      </c>
      <c r="W45" s="195" t="s">
        <v>585</v>
      </c>
      <c r="X45" s="195" t="str">
        <f t="shared" si="1"/>
        <v>2. Improbable 1. Insignificantes</v>
      </c>
      <c r="Y45" s="195">
        <v>2.0</v>
      </c>
      <c r="Z45" s="196" t="s">
        <v>588</v>
      </c>
    </row>
    <row r="46" ht="14.25" customHeight="1">
      <c r="V46" s="195" t="s">
        <v>586</v>
      </c>
      <c r="W46" s="195" t="s">
        <v>581</v>
      </c>
      <c r="X46" s="195" t="str">
        <f t="shared" si="1"/>
        <v>1. Muy Improbable 2. Menores</v>
      </c>
      <c r="Y46" s="195">
        <v>2.0</v>
      </c>
      <c r="Z46" s="196" t="s">
        <v>588</v>
      </c>
    </row>
    <row r="47" ht="14.25" customHeight="1">
      <c r="V47" s="195" t="s">
        <v>586</v>
      </c>
      <c r="W47" s="195" t="s">
        <v>585</v>
      </c>
      <c r="X47" s="195" t="str">
        <f t="shared" si="1"/>
        <v>1. Muy Improbable 1. Insignificantes</v>
      </c>
      <c r="Y47" s="195">
        <v>1.0</v>
      </c>
      <c r="Z47" s="196" t="s">
        <v>588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B5:E5"/>
    <mergeCell ref="B6:C6"/>
    <mergeCell ref="D6:E6"/>
    <mergeCell ref="O3:U3"/>
    <mergeCell ref="B4:E4"/>
    <mergeCell ref="O4:P6"/>
    <mergeCell ref="Q4:U4"/>
    <mergeCell ref="Q5:Q6"/>
    <mergeCell ref="R5:R6"/>
    <mergeCell ref="U5:U6"/>
    <mergeCell ref="V21:X21"/>
    <mergeCell ref="Y21:Z21"/>
    <mergeCell ref="R26:R27"/>
    <mergeCell ref="S26:S27"/>
    <mergeCell ref="T26:T27"/>
    <mergeCell ref="U26:U27"/>
    <mergeCell ref="S5:S6"/>
    <mergeCell ref="T5:T6"/>
    <mergeCell ref="O7:O11"/>
    <mergeCell ref="G12:M12"/>
    <mergeCell ref="G13:I13"/>
    <mergeCell ref="K13:M13"/>
    <mergeCell ref="V20:Z20"/>
  </mergeCells>
  <conditionalFormatting sqref="Q7">
    <cfRule type="cellIs" dxfId="0" priority="1" operator="equal">
      <formula>"Bajo"</formula>
    </cfRule>
  </conditionalFormatting>
  <conditionalFormatting sqref="Q7">
    <cfRule type="cellIs" dxfId="1" priority="2" operator="equal">
      <formula>"Moderado"</formula>
    </cfRule>
  </conditionalFormatting>
  <conditionalFormatting sqref="Q7">
    <cfRule type="cellIs" dxfId="2" priority="3" operator="equal">
      <formula>"Alto"</formula>
    </cfRule>
  </conditionalFormatting>
  <conditionalFormatting sqref="Q7">
    <cfRule type="cellIs" dxfId="3" priority="4" operator="equal">
      <formula>"Extremo"</formula>
    </cfRule>
  </conditionalFormatting>
  <conditionalFormatting sqref="Z23:Z47">
    <cfRule type="cellIs" dxfId="0" priority="5" operator="equal">
      <formula>"Bajo"</formula>
    </cfRule>
  </conditionalFormatting>
  <conditionalFormatting sqref="Z23:Z47">
    <cfRule type="cellIs" dxfId="1" priority="6" operator="equal">
      <formula>"Moderado"</formula>
    </cfRule>
  </conditionalFormatting>
  <conditionalFormatting sqref="Z23:Z47">
    <cfRule type="cellIs" dxfId="2" priority="7" operator="equal">
      <formula>"Alto"</formula>
    </cfRule>
  </conditionalFormatting>
  <conditionalFormatting sqref="Z23:Z47">
    <cfRule type="cellIs" dxfId="3" priority="8" operator="equal">
      <formula>"Extremo"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24.29"/>
    <col customWidth="1" min="3" max="3" width="33.29"/>
    <col customWidth="1" min="4" max="4" width="2.29"/>
    <col customWidth="1" min="5" max="5" width="29.71"/>
    <col customWidth="1" min="6" max="6" width="2.29"/>
    <col customWidth="1" min="7" max="7" width="15.71"/>
    <col customWidth="1" min="8" max="8" width="12.86"/>
    <col customWidth="1" min="9" max="9" width="12.29"/>
    <col customWidth="1" min="10" max="10" width="2.29"/>
    <col customWidth="1" min="11" max="11" width="17.29"/>
    <col customWidth="1" min="12" max="26" width="10.71"/>
  </cols>
  <sheetData>
    <row r="1" ht="12.75" customHeight="1">
      <c r="A1" s="208"/>
      <c r="B1" s="209" t="s">
        <v>2</v>
      </c>
      <c r="C1" s="8"/>
      <c r="D1" s="208"/>
      <c r="E1" s="210" t="s">
        <v>612</v>
      </c>
      <c r="F1" s="208"/>
      <c r="G1" s="209" t="s">
        <v>613</v>
      </c>
      <c r="H1" s="5"/>
      <c r="I1" s="5"/>
      <c r="J1" s="5"/>
      <c r="K1" s="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ht="14.25" customHeight="1">
      <c r="G2" s="133"/>
      <c r="H2" s="133"/>
      <c r="I2" s="133"/>
      <c r="K2" s="133"/>
    </row>
    <row r="3" ht="14.25" customHeight="1">
      <c r="B3" s="211" t="s">
        <v>36</v>
      </c>
      <c r="C3" s="211" t="s">
        <v>38</v>
      </c>
      <c r="E3" s="211" t="s">
        <v>614</v>
      </c>
      <c r="G3" s="211" t="s">
        <v>39</v>
      </c>
      <c r="H3" s="211" t="s">
        <v>40</v>
      </c>
      <c r="I3" s="211" t="s">
        <v>41</v>
      </c>
      <c r="J3" s="212"/>
      <c r="K3" s="211" t="s">
        <v>615</v>
      </c>
    </row>
    <row r="4" ht="14.25" customHeight="1">
      <c r="B4" s="53" t="s">
        <v>616</v>
      </c>
      <c r="C4" s="53" t="s">
        <v>617</v>
      </c>
      <c r="E4" s="53" t="s">
        <v>618</v>
      </c>
      <c r="G4" s="213" t="s">
        <v>102</v>
      </c>
      <c r="H4" s="213" t="s">
        <v>102</v>
      </c>
      <c r="I4" s="213" t="s">
        <v>102</v>
      </c>
      <c r="J4" s="214"/>
      <c r="K4" s="213" t="str">
        <f t="shared" ref="K4:K16" si="1">IF(OR(G4="ALTO",I4="ALTO",H4="ALTO"),"ALTO","")</f>
        <v>ALTO</v>
      </c>
    </row>
    <row r="5" ht="14.25" customHeight="1">
      <c r="B5" s="53" t="s">
        <v>154</v>
      </c>
      <c r="C5" s="53" t="s">
        <v>619</v>
      </c>
      <c r="E5" s="53" t="s">
        <v>620</v>
      </c>
      <c r="G5" s="213" t="s">
        <v>102</v>
      </c>
      <c r="H5" s="213" t="s">
        <v>621</v>
      </c>
      <c r="I5" s="213" t="s">
        <v>102</v>
      </c>
      <c r="J5" s="214"/>
      <c r="K5" s="213" t="str">
        <f t="shared" si="1"/>
        <v>ALTO</v>
      </c>
    </row>
    <row r="6" ht="14.25" customHeight="1">
      <c r="B6" s="53" t="s">
        <v>84</v>
      </c>
      <c r="C6" s="53" t="s">
        <v>622</v>
      </c>
      <c r="E6" s="53" t="s">
        <v>623</v>
      </c>
      <c r="G6" s="213" t="s">
        <v>102</v>
      </c>
      <c r="H6" s="213" t="s">
        <v>588</v>
      </c>
      <c r="I6" s="213" t="s">
        <v>102</v>
      </c>
      <c r="J6" s="214"/>
      <c r="K6" s="213" t="str">
        <f t="shared" si="1"/>
        <v>ALTO</v>
      </c>
    </row>
    <row r="7" ht="14.25" customHeight="1">
      <c r="B7" s="53" t="s">
        <v>382</v>
      </c>
      <c r="C7" s="53" t="s">
        <v>624</v>
      </c>
      <c r="E7" s="53" t="s">
        <v>625</v>
      </c>
      <c r="G7" s="213" t="s">
        <v>102</v>
      </c>
      <c r="H7" s="213" t="s">
        <v>102</v>
      </c>
      <c r="I7" s="213" t="s">
        <v>621</v>
      </c>
      <c r="J7" s="214"/>
      <c r="K7" s="213" t="str">
        <f t="shared" si="1"/>
        <v>ALTO</v>
      </c>
    </row>
    <row r="8" ht="14.25" customHeight="1">
      <c r="B8" s="53" t="s">
        <v>626</v>
      </c>
      <c r="C8" s="215" t="s">
        <v>155</v>
      </c>
      <c r="E8" s="53" t="s">
        <v>627</v>
      </c>
      <c r="G8" s="213" t="s">
        <v>102</v>
      </c>
      <c r="H8" s="213" t="s">
        <v>621</v>
      </c>
      <c r="I8" s="213" t="s">
        <v>621</v>
      </c>
      <c r="J8" s="214"/>
      <c r="K8" s="213" t="str">
        <f t="shared" si="1"/>
        <v>ALTO</v>
      </c>
    </row>
    <row r="9" ht="14.25" customHeight="1">
      <c r="B9" s="53" t="s">
        <v>628</v>
      </c>
      <c r="C9" s="216" t="s">
        <v>629</v>
      </c>
      <c r="E9" s="53" t="s">
        <v>630</v>
      </c>
      <c r="G9" s="213" t="s">
        <v>102</v>
      </c>
      <c r="H9" s="213" t="s">
        <v>588</v>
      </c>
      <c r="I9" s="213" t="s">
        <v>621</v>
      </c>
      <c r="J9" s="214"/>
      <c r="K9" s="213" t="str">
        <f t="shared" si="1"/>
        <v>ALTO</v>
      </c>
    </row>
    <row r="10" ht="14.25" customHeight="1">
      <c r="B10" s="53" t="s">
        <v>631</v>
      </c>
      <c r="C10" s="216" t="s">
        <v>632</v>
      </c>
      <c r="E10" s="53" t="s">
        <v>633</v>
      </c>
      <c r="G10" s="213" t="s">
        <v>102</v>
      </c>
      <c r="H10" s="213" t="s">
        <v>102</v>
      </c>
      <c r="I10" s="213" t="s">
        <v>588</v>
      </c>
      <c r="J10" s="214"/>
      <c r="K10" s="213" t="str">
        <f t="shared" si="1"/>
        <v>ALTO</v>
      </c>
    </row>
    <row r="11" ht="14.25" customHeight="1">
      <c r="B11" s="217" t="s">
        <v>634</v>
      </c>
      <c r="C11" s="216" t="s">
        <v>635</v>
      </c>
      <c r="E11" s="53" t="s">
        <v>636</v>
      </c>
      <c r="G11" s="213" t="s">
        <v>102</v>
      </c>
      <c r="H11" s="213" t="s">
        <v>621</v>
      </c>
      <c r="I11" s="213" t="s">
        <v>588</v>
      </c>
      <c r="J11" s="214"/>
      <c r="K11" s="213" t="str">
        <f t="shared" si="1"/>
        <v>ALTO</v>
      </c>
    </row>
    <row r="12" ht="14.25" customHeight="1">
      <c r="B12" s="218" t="s">
        <v>637</v>
      </c>
      <c r="C12" s="216" t="s">
        <v>638</v>
      </c>
      <c r="E12" s="53" t="s">
        <v>639</v>
      </c>
      <c r="G12" s="213" t="s">
        <v>102</v>
      </c>
      <c r="H12" s="213" t="s">
        <v>588</v>
      </c>
      <c r="I12" s="213" t="s">
        <v>588</v>
      </c>
      <c r="J12" s="214"/>
      <c r="K12" s="213" t="str">
        <f t="shared" si="1"/>
        <v>ALTO</v>
      </c>
    </row>
    <row r="13" ht="14.25" customHeight="1">
      <c r="C13" s="217" t="s">
        <v>640</v>
      </c>
      <c r="E13" s="53" t="s">
        <v>641</v>
      </c>
      <c r="G13" s="213" t="s">
        <v>621</v>
      </c>
      <c r="H13" s="213" t="s">
        <v>102</v>
      </c>
      <c r="I13" s="213" t="s">
        <v>102</v>
      </c>
      <c r="J13" s="214"/>
      <c r="K13" s="213" t="str">
        <f t="shared" si="1"/>
        <v>ALTO</v>
      </c>
    </row>
    <row r="14" ht="14.25" customHeight="1">
      <c r="C14" s="217" t="s">
        <v>642</v>
      </c>
      <c r="E14" s="53" t="s">
        <v>643</v>
      </c>
      <c r="G14" s="213" t="s">
        <v>621</v>
      </c>
      <c r="H14" s="213" t="s">
        <v>621</v>
      </c>
      <c r="I14" s="213" t="s">
        <v>102</v>
      </c>
      <c r="J14" s="214"/>
      <c r="K14" s="213" t="str">
        <f t="shared" si="1"/>
        <v>ALTO</v>
      </c>
    </row>
    <row r="15" ht="14.25" customHeight="1">
      <c r="C15" s="217" t="s">
        <v>644</v>
      </c>
      <c r="E15" s="53" t="s">
        <v>645</v>
      </c>
      <c r="G15" s="213" t="s">
        <v>621</v>
      </c>
      <c r="H15" s="213" t="s">
        <v>588</v>
      </c>
      <c r="I15" s="213" t="s">
        <v>102</v>
      </c>
      <c r="J15" s="214"/>
      <c r="K15" s="213" t="str">
        <f t="shared" si="1"/>
        <v>ALTO</v>
      </c>
    </row>
    <row r="16" ht="14.25" customHeight="1">
      <c r="C16" s="217" t="s">
        <v>646</v>
      </c>
      <c r="E16" s="53" t="s">
        <v>647</v>
      </c>
      <c r="G16" s="213" t="s">
        <v>621</v>
      </c>
      <c r="H16" s="213" t="s">
        <v>102</v>
      </c>
      <c r="I16" s="213" t="s">
        <v>621</v>
      </c>
      <c r="J16" s="214"/>
      <c r="K16" s="213" t="str">
        <f t="shared" si="1"/>
        <v>ALTO</v>
      </c>
    </row>
    <row r="17" ht="14.25" customHeight="1">
      <c r="C17" s="217" t="s">
        <v>648</v>
      </c>
      <c r="E17" s="53" t="s">
        <v>649</v>
      </c>
      <c r="G17" s="213" t="s">
        <v>621</v>
      </c>
      <c r="H17" s="213" t="s">
        <v>621</v>
      </c>
      <c r="I17" s="213" t="s">
        <v>621</v>
      </c>
      <c r="J17" s="214"/>
      <c r="K17" s="213" t="s">
        <v>621</v>
      </c>
    </row>
    <row r="18" ht="14.25" customHeight="1">
      <c r="C18" s="217" t="s">
        <v>650</v>
      </c>
      <c r="E18" s="53" t="s">
        <v>651</v>
      </c>
      <c r="G18" s="213" t="s">
        <v>621</v>
      </c>
      <c r="H18" s="213" t="s">
        <v>588</v>
      </c>
      <c r="I18" s="213" t="s">
        <v>621</v>
      </c>
      <c r="J18" s="214"/>
      <c r="K18" s="213" t="s">
        <v>621</v>
      </c>
    </row>
    <row r="19" ht="14.25" customHeight="1">
      <c r="C19" s="217" t="s">
        <v>652</v>
      </c>
      <c r="E19" s="219" t="s">
        <v>653</v>
      </c>
      <c r="G19" s="213" t="s">
        <v>621</v>
      </c>
      <c r="H19" s="213" t="s">
        <v>102</v>
      </c>
      <c r="I19" s="213" t="s">
        <v>588</v>
      </c>
      <c r="J19" s="214"/>
      <c r="K19" s="213" t="str">
        <f>IF(OR(G19="ALTO",I19="ALTO",H19="ALTO"),"ALTO","")</f>
        <v>ALTO</v>
      </c>
    </row>
    <row r="20" ht="14.25" customHeight="1">
      <c r="C20" s="217" t="s">
        <v>654</v>
      </c>
      <c r="E20" s="220" t="s">
        <v>637</v>
      </c>
      <c r="G20" s="213" t="s">
        <v>621</v>
      </c>
      <c r="H20" s="213" t="s">
        <v>621</v>
      </c>
      <c r="I20" s="213" t="s">
        <v>588</v>
      </c>
      <c r="J20" s="214"/>
      <c r="K20" s="213" t="s">
        <v>621</v>
      </c>
    </row>
    <row r="21" ht="14.25" customHeight="1">
      <c r="C21" s="217" t="s">
        <v>655</v>
      </c>
      <c r="G21" s="213" t="s">
        <v>621</v>
      </c>
      <c r="H21" s="213" t="s">
        <v>588</v>
      </c>
      <c r="I21" s="213" t="s">
        <v>588</v>
      </c>
      <c r="J21" s="214"/>
      <c r="K21" s="213" t="s">
        <v>588</v>
      </c>
    </row>
    <row r="22" ht="14.25" customHeight="1">
      <c r="C22" s="217" t="s">
        <v>656</v>
      </c>
      <c r="G22" s="213" t="s">
        <v>588</v>
      </c>
      <c r="H22" s="213" t="s">
        <v>102</v>
      </c>
      <c r="I22" s="213" t="s">
        <v>102</v>
      </c>
      <c r="J22" s="214"/>
      <c r="K22" s="213" t="str">
        <f t="shared" ref="K22:K25" si="2">IF(OR(G22="ALTO",I22="ALTO",H22="ALTO"),"ALTO","")</f>
        <v>ALTO</v>
      </c>
    </row>
    <row r="23" ht="14.25" customHeight="1">
      <c r="C23" s="217" t="s">
        <v>657</v>
      </c>
      <c r="G23" s="213" t="s">
        <v>588</v>
      </c>
      <c r="H23" s="213" t="s">
        <v>621</v>
      </c>
      <c r="I23" s="213" t="s">
        <v>102</v>
      </c>
      <c r="J23" s="214"/>
      <c r="K23" s="213" t="str">
        <f t="shared" si="2"/>
        <v>ALTO</v>
      </c>
    </row>
    <row r="24" ht="14.25" customHeight="1">
      <c r="C24" s="217" t="s">
        <v>658</v>
      </c>
      <c r="G24" s="213" t="s">
        <v>588</v>
      </c>
      <c r="H24" s="213" t="s">
        <v>588</v>
      </c>
      <c r="I24" s="213" t="s">
        <v>102</v>
      </c>
      <c r="J24" s="214"/>
      <c r="K24" s="213" t="str">
        <f t="shared" si="2"/>
        <v>ALTO</v>
      </c>
    </row>
    <row r="25" ht="14.25" customHeight="1">
      <c r="C25" s="217" t="s">
        <v>659</v>
      </c>
      <c r="G25" s="213" t="s">
        <v>588</v>
      </c>
      <c r="H25" s="213" t="s">
        <v>102</v>
      </c>
      <c r="I25" s="213" t="s">
        <v>621</v>
      </c>
      <c r="J25" s="214"/>
      <c r="K25" s="213" t="str">
        <f t="shared" si="2"/>
        <v>ALTO</v>
      </c>
    </row>
    <row r="26" ht="14.25" customHeight="1">
      <c r="C26" s="217" t="s">
        <v>660</v>
      </c>
      <c r="G26" s="213" t="s">
        <v>588</v>
      </c>
      <c r="H26" s="213" t="s">
        <v>621</v>
      </c>
      <c r="I26" s="213" t="s">
        <v>621</v>
      </c>
      <c r="J26" s="214"/>
      <c r="K26" s="213" t="s">
        <v>621</v>
      </c>
    </row>
    <row r="27" ht="14.25" customHeight="1">
      <c r="C27" s="217" t="s">
        <v>661</v>
      </c>
      <c r="G27" s="213" t="s">
        <v>588</v>
      </c>
      <c r="H27" s="213" t="s">
        <v>588</v>
      </c>
      <c r="I27" s="213" t="s">
        <v>621</v>
      </c>
      <c r="J27" s="214"/>
      <c r="K27" s="213" t="s">
        <v>588</v>
      </c>
    </row>
    <row r="28" ht="14.25" customHeight="1">
      <c r="C28" s="217" t="s">
        <v>662</v>
      </c>
      <c r="G28" s="213" t="s">
        <v>588</v>
      </c>
      <c r="H28" s="213" t="s">
        <v>102</v>
      </c>
      <c r="I28" s="213" t="s">
        <v>588</v>
      </c>
      <c r="J28" s="214"/>
      <c r="K28" s="213" t="str">
        <f>IF(OR(G28="ALTO",I28="ALTO",H28="ALTO"),"ALTO","")</f>
        <v>ALTO</v>
      </c>
    </row>
    <row r="29" ht="14.25" customHeight="1">
      <c r="C29" s="217" t="s">
        <v>663</v>
      </c>
      <c r="G29" s="213" t="s">
        <v>588</v>
      </c>
      <c r="H29" s="213" t="s">
        <v>621</v>
      </c>
      <c r="I29" s="213" t="s">
        <v>588</v>
      </c>
      <c r="J29" s="214"/>
      <c r="K29" s="213" t="s">
        <v>588</v>
      </c>
    </row>
    <row r="30" ht="14.25" customHeight="1">
      <c r="C30" s="217" t="s">
        <v>664</v>
      </c>
      <c r="G30" s="213" t="s">
        <v>588</v>
      </c>
      <c r="H30" s="213" t="s">
        <v>588</v>
      </c>
      <c r="I30" s="213" t="s">
        <v>588</v>
      </c>
      <c r="J30" s="214"/>
      <c r="K30" s="213" t="s">
        <v>588</v>
      </c>
    </row>
    <row r="31" ht="14.25" customHeight="1">
      <c r="C31" s="217" t="s">
        <v>665</v>
      </c>
      <c r="G31" s="133"/>
      <c r="H31" s="133"/>
      <c r="I31" s="133"/>
      <c r="K31" s="133"/>
    </row>
    <row r="32" ht="14.25" customHeight="1">
      <c r="C32" s="217" t="s">
        <v>666</v>
      </c>
      <c r="G32" s="133"/>
      <c r="H32" s="133"/>
      <c r="I32" s="133"/>
      <c r="K32" s="133"/>
    </row>
    <row r="33" ht="14.25" customHeight="1">
      <c r="C33" s="217" t="s">
        <v>667</v>
      </c>
      <c r="G33" s="133"/>
      <c r="H33" s="133"/>
      <c r="I33" s="133"/>
      <c r="K33" s="133"/>
    </row>
    <row r="34" ht="14.25" customHeight="1">
      <c r="C34" s="217" t="s">
        <v>668</v>
      </c>
      <c r="G34" s="133"/>
      <c r="H34" s="133"/>
      <c r="I34" s="133"/>
      <c r="K34" s="133"/>
    </row>
    <row r="35" ht="14.25" customHeight="1">
      <c r="C35" s="217" t="s">
        <v>669</v>
      </c>
      <c r="G35" s="133"/>
      <c r="H35" s="133"/>
      <c r="I35" s="133"/>
      <c r="K35" s="133"/>
    </row>
    <row r="36" ht="14.25" customHeight="1">
      <c r="C36" s="217" t="s">
        <v>670</v>
      </c>
      <c r="G36" s="133"/>
      <c r="H36" s="133"/>
      <c r="I36" s="133"/>
      <c r="K36" s="133"/>
    </row>
    <row r="37" ht="14.25" customHeight="1">
      <c r="C37" s="217" t="s">
        <v>671</v>
      </c>
      <c r="G37" s="133"/>
      <c r="H37" s="133"/>
      <c r="I37" s="133"/>
      <c r="K37" s="133"/>
    </row>
    <row r="38" ht="14.25" customHeight="1">
      <c r="C38" s="217" t="s">
        <v>672</v>
      </c>
      <c r="G38" s="133"/>
      <c r="H38" s="133"/>
      <c r="I38" s="133"/>
      <c r="K38" s="133"/>
    </row>
    <row r="39" ht="14.25" customHeight="1">
      <c r="C39" s="217" t="s">
        <v>673</v>
      </c>
      <c r="G39" s="133"/>
      <c r="H39" s="133"/>
      <c r="I39" s="133"/>
      <c r="K39" s="133"/>
    </row>
    <row r="40" ht="14.25" customHeight="1">
      <c r="C40" s="217" t="s">
        <v>674</v>
      </c>
      <c r="G40" s="133"/>
      <c r="H40" s="133"/>
      <c r="I40" s="133"/>
      <c r="K40" s="133"/>
    </row>
    <row r="41" ht="14.25" customHeight="1">
      <c r="C41" s="217" t="s">
        <v>675</v>
      </c>
      <c r="G41" s="133"/>
      <c r="H41" s="133"/>
      <c r="I41" s="133"/>
      <c r="K41" s="133"/>
    </row>
    <row r="42" ht="14.25" customHeight="1">
      <c r="C42" s="217" t="s">
        <v>676</v>
      </c>
      <c r="G42" s="133"/>
      <c r="H42" s="133"/>
      <c r="I42" s="133"/>
      <c r="K42" s="133"/>
    </row>
    <row r="43" ht="14.25" customHeight="1">
      <c r="C43" s="217" t="s">
        <v>677</v>
      </c>
      <c r="G43" s="133"/>
      <c r="H43" s="133"/>
      <c r="I43" s="133"/>
      <c r="K43" s="133"/>
    </row>
    <row r="44" ht="14.25" customHeight="1">
      <c r="C44" s="217" t="s">
        <v>678</v>
      </c>
      <c r="G44" s="133"/>
      <c r="H44" s="133"/>
      <c r="I44" s="133"/>
      <c r="K44" s="133"/>
    </row>
    <row r="45" ht="14.25" customHeight="1">
      <c r="C45" s="217" t="s">
        <v>679</v>
      </c>
      <c r="G45" s="133"/>
      <c r="H45" s="133"/>
      <c r="I45" s="133"/>
      <c r="K45" s="133"/>
    </row>
    <row r="46" ht="14.25" customHeight="1">
      <c r="C46" s="217" t="s">
        <v>680</v>
      </c>
      <c r="G46" s="133"/>
      <c r="H46" s="133"/>
      <c r="I46" s="133"/>
      <c r="K46" s="133"/>
    </row>
    <row r="47" ht="14.25" customHeight="1">
      <c r="C47" s="217" t="s">
        <v>681</v>
      </c>
      <c r="G47" s="133"/>
      <c r="H47" s="133"/>
      <c r="I47" s="133"/>
      <c r="K47" s="133"/>
    </row>
    <row r="48" ht="14.25" customHeight="1">
      <c r="C48" s="217" t="s">
        <v>682</v>
      </c>
      <c r="G48" s="133"/>
      <c r="H48" s="133"/>
      <c r="I48" s="133"/>
      <c r="K48" s="133"/>
    </row>
    <row r="49" ht="14.25" customHeight="1">
      <c r="C49" s="221" t="s">
        <v>683</v>
      </c>
      <c r="G49" s="133"/>
      <c r="H49" s="133"/>
      <c r="I49" s="133"/>
      <c r="K49" s="133"/>
    </row>
    <row r="50" ht="14.25" customHeight="1">
      <c r="C50" s="220" t="s">
        <v>637</v>
      </c>
      <c r="G50" s="133"/>
      <c r="H50" s="133"/>
      <c r="I50" s="133"/>
      <c r="K50" s="133"/>
    </row>
    <row r="51" ht="14.25" customHeight="1">
      <c r="G51" s="133"/>
      <c r="H51" s="133"/>
      <c r="I51" s="133"/>
      <c r="K51" s="133"/>
    </row>
    <row r="52" ht="14.25" customHeight="1">
      <c r="G52" s="133"/>
      <c r="H52" s="133"/>
      <c r="I52" s="133"/>
      <c r="K52" s="133"/>
    </row>
    <row r="53" ht="14.25" customHeight="1">
      <c r="G53" s="133"/>
      <c r="H53" s="133"/>
      <c r="I53" s="133"/>
      <c r="K53" s="133"/>
    </row>
    <row r="54" ht="14.25" customHeight="1">
      <c r="G54" s="133"/>
      <c r="H54" s="133"/>
      <c r="I54" s="133"/>
      <c r="K54" s="133"/>
    </row>
    <row r="55" ht="14.25" customHeight="1">
      <c r="G55" s="133"/>
      <c r="H55" s="133"/>
      <c r="I55" s="133"/>
      <c r="K55" s="133"/>
    </row>
    <row r="56" ht="14.25" customHeight="1">
      <c r="G56" s="133"/>
      <c r="H56" s="133"/>
      <c r="I56" s="133"/>
      <c r="K56" s="133"/>
    </row>
    <row r="57" ht="14.25" customHeight="1">
      <c r="G57" s="133"/>
      <c r="H57" s="133"/>
      <c r="I57" s="133"/>
      <c r="K57" s="133"/>
    </row>
    <row r="58" ht="14.25" customHeight="1">
      <c r="G58" s="133"/>
      <c r="H58" s="133"/>
      <c r="I58" s="133"/>
      <c r="K58" s="133"/>
    </row>
    <row r="59" ht="14.25" customHeight="1">
      <c r="G59" s="133"/>
      <c r="H59" s="133"/>
      <c r="I59" s="133"/>
      <c r="K59" s="133"/>
    </row>
    <row r="60" ht="14.25" customHeight="1">
      <c r="G60" s="133"/>
      <c r="H60" s="133"/>
      <c r="I60" s="133"/>
      <c r="K60" s="133"/>
    </row>
    <row r="61" ht="14.25" customHeight="1">
      <c r="G61" s="133"/>
      <c r="H61" s="133"/>
      <c r="I61" s="133"/>
      <c r="K61" s="133"/>
    </row>
    <row r="62" ht="14.25" customHeight="1">
      <c r="G62" s="133"/>
      <c r="H62" s="133"/>
      <c r="I62" s="133"/>
      <c r="K62" s="133"/>
    </row>
    <row r="63" ht="14.25" customHeight="1">
      <c r="G63" s="133"/>
      <c r="H63" s="133"/>
      <c r="I63" s="133"/>
      <c r="K63" s="133"/>
    </row>
    <row r="64" ht="14.25" customHeight="1">
      <c r="G64" s="133"/>
      <c r="H64" s="133"/>
      <c r="I64" s="133"/>
      <c r="K64" s="133"/>
    </row>
    <row r="65" ht="14.25" customHeight="1">
      <c r="G65" s="133"/>
      <c r="H65" s="133"/>
      <c r="I65" s="133"/>
      <c r="K65" s="133"/>
    </row>
    <row r="66" ht="14.25" customHeight="1">
      <c r="G66" s="133"/>
      <c r="H66" s="133"/>
      <c r="I66" s="133"/>
      <c r="K66" s="133"/>
    </row>
    <row r="67" ht="14.25" customHeight="1">
      <c r="G67" s="133"/>
      <c r="H67" s="133"/>
      <c r="I67" s="133"/>
      <c r="K67" s="133"/>
    </row>
    <row r="68" ht="14.25" customHeight="1">
      <c r="G68" s="133"/>
      <c r="H68" s="133"/>
      <c r="I68" s="133"/>
      <c r="K68" s="133"/>
    </row>
    <row r="69" ht="14.25" customHeight="1">
      <c r="G69" s="133"/>
      <c r="H69" s="133"/>
      <c r="I69" s="133"/>
      <c r="K69" s="133"/>
    </row>
    <row r="70" ht="14.25" customHeight="1">
      <c r="G70" s="133"/>
      <c r="H70" s="133"/>
      <c r="I70" s="133"/>
      <c r="K70" s="133"/>
    </row>
    <row r="71" ht="14.25" customHeight="1">
      <c r="G71" s="133"/>
      <c r="H71" s="133"/>
      <c r="I71" s="133"/>
      <c r="K71" s="133"/>
    </row>
    <row r="72" ht="14.25" customHeight="1">
      <c r="G72" s="133"/>
      <c r="H72" s="133"/>
      <c r="I72" s="133"/>
      <c r="K72" s="133"/>
    </row>
    <row r="73" ht="14.25" customHeight="1">
      <c r="G73" s="133"/>
      <c r="H73" s="133"/>
      <c r="I73" s="133"/>
      <c r="K73" s="133"/>
    </row>
    <row r="74" ht="14.25" customHeight="1">
      <c r="G74" s="133"/>
      <c r="H74" s="133"/>
      <c r="I74" s="133"/>
      <c r="K74" s="133"/>
    </row>
    <row r="75" ht="14.25" customHeight="1">
      <c r="G75" s="133"/>
      <c r="H75" s="133"/>
      <c r="I75" s="133"/>
      <c r="K75" s="133"/>
    </row>
    <row r="76" ht="14.25" customHeight="1">
      <c r="G76" s="133"/>
      <c r="H76" s="133"/>
      <c r="I76" s="133"/>
      <c r="K76" s="133"/>
    </row>
    <row r="77" ht="14.25" customHeight="1">
      <c r="G77" s="133"/>
      <c r="H77" s="133"/>
      <c r="I77" s="133"/>
      <c r="K77" s="133"/>
    </row>
    <row r="78" ht="14.25" customHeight="1">
      <c r="G78" s="133"/>
      <c r="H78" s="133"/>
      <c r="I78" s="133"/>
      <c r="K78" s="133"/>
    </row>
    <row r="79" ht="14.25" customHeight="1">
      <c r="G79" s="133"/>
      <c r="H79" s="133"/>
      <c r="I79" s="133"/>
      <c r="K79" s="133"/>
    </row>
    <row r="80" ht="14.25" customHeight="1">
      <c r="G80" s="133"/>
      <c r="H80" s="133"/>
      <c r="I80" s="133"/>
      <c r="K80" s="133"/>
    </row>
    <row r="81" ht="14.25" customHeight="1">
      <c r="G81" s="133"/>
      <c r="H81" s="133"/>
      <c r="I81" s="133"/>
      <c r="K81" s="133"/>
    </row>
    <row r="82" ht="14.25" customHeight="1">
      <c r="G82" s="133"/>
      <c r="H82" s="133"/>
      <c r="I82" s="133"/>
      <c r="K82" s="133"/>
    </row>
    <row r="83" ht="14.25" customHeight="1">
      <c r="G83" s="133"/>
      <c r="H83" s="133"/>
      <c r="I83" s="133"/>
      <c r="K83" s="133"/>
    </row>
    <row r="84" ht="14.25" customHeight="1">
      <c r="G84" s="133"/>
      <c r="H84" s="133"/>
      <c r="I84" s="133"/>
      <c r="K84" s="133"/>
    </row>
    <row r="85" ht="14.25" customHeight="1">
      <c r="G85" s="133"/>
      <c r="H85" s="133"/>
      <c r="I85" s="133"/>
      <c r="K85" s="133"/>
    </row>
    <row r="86" ht="14.25" customHeight="1">
      <c r="G86" s="133"/>
      <c r="H86" s="133"/>
      <c r="I86" s="133"/>
      <c r="K86" s="133"/>
    </row>
    <row r="87" ht="14.25" customHeight="1">
      <c r="G87" s="133"/>
      <c r="H87" s="133"/>
      <c r="I87" s="133"/>
      <c r="K87" s="133"/>
    </row>
    <row r="88" ht="14.25" customHeight="1">
      <c r="G88" s="133"/>
      <c r="H88" s="133"/>
      <c r="I88" s="133"/>
      <c r="K88" s="133"/>
    </row>
    <row r="89" ht="14.25" customHeight="1">
      <c r="G89" s="133"/>
      <c r="H89" s="133"/>
      <c r="I89" s="133"/>
      <c r="K89" s="133"/>
    </row>
    <row r="90" ht="14.25" customHeight="1">
      <c r="G90" s="133"/>
      <c r="H90" s="133"/>
      <c r="I90" s="133"/>
      <c r="K90" s="133"/>
    </row>
    <row r="91" ht="14.25" customHeight="1">
      <c r="G91" s="133"/>
      <c r="H91" s="133"/>
      <c r="I91" s="133"/>
      <c r="K91" s="133"/>
    </row>
    <row r="92" ht="14.25" customHeight="1">
      <c r="G92" s="133"/>
      <c r="H92" s="133"/>
      <c r="I92" s="133"/>
      <c r="K92" s="133"/>
    </row>
    <row r="93" ht="14.25" customHeight="1">
      <c r="G93" s="133"/>
      <c r="H93" s="133"/>
      <c r="I93" s="133"/>
      <c r="K93" s="133"/>
    </row>
    <row r="94" ht="14.25" customHeight="1">
      <c r="G94" s="133"/>
      <c r="H94" s="133"/>
      <c r="I94" s="133"/>
      <c r="K94" s="133"/>
    </row>
    <row r="95" ht="14.25" customHeight="1">
      <c r="G95" s="133"/>
      <c r="H95" s="133"/>
      <c r="I95" s="133"/>
      <c r="K95" s="133"/>
    </row>
    <row r="96" ht="14.25" customHeight="1">
      <c r="G96" s="133"/>
      <c r="H96" s="133"/>
      <c r="I96" s="133"/>
      <c r="K96" s="133"/>
    </row>
    <row r="97" ht="14.25" customHeight="1">
      <c r="G97" s="133"/>
      <c r="H97" s="133"/>
      <c r="I97" s="133"/>
      <c r="K97" s="133"/>
    </row>
    <row r="98" ht="14.25" customHeight="1">
      <c r="G98" s="133"/>
      <c r="H98" s="133"/>
      <c r="I98" s="133"/>
      <c r="K98" s="133"/>
    </row>
    <row r="99" ht="14.25" customHeight="1">
      <c r="G99" s="133"/>
      <c r="H99" s="133"/>
      <c r="I99" s="133"/>
      <c r="K99" s="133"/>
    </row>
    <row r="100" ht="14.25" customHeight="1">
      <c r="G100" s="133"/>
      <c r="H100" s="133"/>
      <c r="I100" s="133"/>
      <c r="K100" s="133"/>
    </row>
    <row r="101" ht="14.25" customHeight="1">
      <c r="G101" s="133"/>
      <c r="H101" s="133"/>
      <c r="I101" s="133"/>
      <c r="K101" s="133"/>
    </row>
    <row r="102" ht="14.25" customHeight="1">
      <c r="G102" s="133"/>
      <c r="H102" s="133"/>
      <c r="I102" s="133"/>
      <c r="K102" s="133"/>
    </row>
    <row r="103" ht="14.25" customHeight="1">
      <c r="G103" s="133"/>
      <c r="H103" s="133"/>
      <c r="I103" s="133"/>
      <c r="K103" s="133"/>
    </row>
    <row r="104" ht="14.25" customHeight="1">
      <c r="G104" s="133"/>
      <c r="H104" s="133"/>
      <c r="I104" s="133"/>
      <c r="K104" s="133"/>
    </row>
    <row r="105" ht="14.25" customHeight="1">
      <c r="G105" s="133"/>
      <c r="H105" s="133"/>
      <c r="I105" s="133"/>
      <c r="K105" s="133"/>
    </row>
    <row r="106" ht="14.25" customHeight="1">
      <c r="G106" s="133"/>
      <c r="H106" s="133"/>
      <c r="I106" s="133"/>
      <c r="K106" s="133"/>
    </row>
    <row r="107" ht="14.25" customHeight="1">
      <c r="G107" s="133"/>
      <c r="H107" s="133"/>
      <c r="I107" s="133"/>
      <c r="K107" s="133"/>
    </row>
    <row r="108" ht="14.25" customHeight="1">
      <c r="G108" s="133"/>
      <c r="H108" s="133"/>
      <c r="I108" s="133"/>
      <c r="K108" s="133"/>
    </row>
    <row r="109" ht="14.25" customHeight="1">
      <c r="G109" s="133"/>
      <c r="H109" s="133"/>
      <c r="I109" s="133"/>
      <c r="K109" s="133"/>
    </row>
    <row r="110" ht="14.25" customHeight="1">
      <c r="G110" s="133"/>
      <c r="H110" s="133"/>
      <c r="I110" s="133"/>
      <c r="K110" s="133"/>
    </row>
    <row r="111" ht="14.25" customHeight="1">
      <c r="G111" s="133"/>
      <c r="H111" s="133"/>
      <c r="I111" s="133"/>
      <c r="K111" s="133"/>
    </row>
    <row r="112" ht="14.25" customHeight="1">
      <c r="G112" s="133"/>
      <c r="H112" s="133"/>
      <c r="I112" s="133"/>
      <c r="K112" s="133"/>
    </row>
    <row r="113" ht="14.25" customHeight="1">
      <c r="G113" s="133"/>
      <c r="H113" s="133"/>
      <c r="I113" s="133"/>
      <c r="K113" s="133"/>
    </row>
    <row r="114" ht="14.25" customHeight="1">
      <c r="G114" s="133"/>
      <c r="H114" s="133"/>
      <c r="I114" s="133"/>
      <c r="K114" s="133"/>
    </row>
    <row r="115" ht="14.25" customHeight="1">
      <c r="G115" s="133"/>
      <c r="H115" s="133"/>
      <c r="I115" s="133"/>
      <c r="K115" s="133"/>
    </row>
    <row r="116" ht="14.25" customHeight="1">
      <c r="G116" s="133"/>
      <c r="H116" s="133"/>
      <c r="I116" s="133"/>
      <c r="K116" s="133"/>
    </row>
    <row r="117" ht="14.25" customHeight="1">
      <c r="G117" s="133"/>
      <c r="H117" s="133"/>
      <c r="I117" s="133"/>
      <c r="K117" s="133"/>
    </row>
    <row r="118" ht="14.25" customHeight="1">
      <c r="G118" s="133"/>
      <c r="H118" s="133"/>
      <c r="I118" s="133"/>
      <c r="K118" s="133"/>
    </row>
    <row r="119" ht="14.25" customHeight="1">
      <c r="G119" s="133"/>
      <c r="H119" s="133"/>
      <c r="I119" s="133"/>
      <c r="K119" s="133"/>
    </row>
    <row r="120" ht="14.25" customHeight="1">
      <c r="G120" s="133"/>
      <c r="H120" s="133"/>
      <c r="I120" s="133"/>
      <c r="K120" s="133"/>
    </row>
    <row r="121" ht="14.25" customHeight="1">
      <c r="G121" s="133"/>
      <c r="H121" s="133"/>
      <c r="I121" s="133"/>
      <c r="K121" s="133"/>
    </row>
    <row r="122" ht="14.25" customHeight="1">
      <c r="G122" s="133"/>
      <c r="H122" s="133"/>
      <c r="I122" s="133"/>
      <c r="K122" s="133"/>
    </row>
    <row r="123" ht="14.25" customHeight="1">
      <c r="G123" s="133"/>
      <c r="H123" s="133"/>
      <c r="I123" s="133"/>
      <c r="K123" s="133"/>
    </row>
    <row r="124" ht="14.25" customHeight="1">
      <c r="G124" s="133"/>
      <c r="H124" s="133"/>
      <c r="I124" s="133"/>
      <c r="K124" s="133"/>
    </row>
    <row r="125" ht="14.25" customHeight="1">
      <c r="G125" s="133"/>
      <c r="H125" s="133"/>
      <c r="I125" s="133"/>
      <c r="K125" s="133"/>
    </row>
    <row r="126" ht="14.25" customHeight="1">
      <c r="G126" s="133"/>
      <c r="H126" s="133"/>
      <c r="I126" s="133"/>
      <c r="K126" s="133"/>
    </row>
    <row r="127" ht="14.25" customHeight="1">
      <c r="G127" s="133"/>
      <c r="H127" s="133"/>
      <c r="I127" s="133"/>
      <c r="K127" s="133"/>
    </row>
    <row r="128" ht="14.25" customHeight="1">
      <c r="G128" s="133"/>
      <c r="H128" s="133"/>
      <c r="I128" s="133"/>
      <c r="K128" s="133"/>
    </row>
    <row r="129" ht="14.25" customHeight="1">
      <c r="G129" s="133"/>
      <c r="H129" s="133"/>
      <c r="I129" s="133"/>
      <c r="K129" s="133"/>
    </row>
    <row r="130" ht="14.25" customHeight="1">
      <c r="G130" s="133"/>
      <c r="H130" s="133"/>
      <c r="I130" s="133"/>
      <c r="K130" s="133"/>
    </row>
    <row r="131" ht="14.25" customHeight="1">
      <c r="G131" s="133"/>
      <c r="H131" s="133"/>
      <c r="I131" s="133"/>
      <c r="K131" s="133"/>
    </row>
    <row r="132" ht="14.25" customHeight="1">
      <c r="G132" s="133"/>
      <c r="H132" s="133"/>
      <c r="I132" s="133"/>
      <c r="K132" s="133"/>
    </row>
    <row r="133" ht="14.25" customHeight="1">
      <c r="G133" s="133"/>
      <c r="H133" s="133"/>
      <c r="I133" s="133"/>
      <c r="K133" s="133"/>
    </row>
    <row r="134" ht="14.25" customHeight="1">
      <c r="G134" s="133"/>
      <c r="H134" s="133"/>
      <c r="I134" s="133"/>
      <c r="K134" s="133"/>
    </row>
    <row r="135" ht="14.25" customHeight="1">
      <c r="G135" s="133"/>
      <c r="H135" s="133"/>
      <c r="I135" s="133"/>
      <c r="K135" s="133"/>
    </row>
    <row r="136" ht="14.25" customHeight="1">
      <c r="G136" s="133"/>
      <c r="H136" s="133"/>
      <c r="I136" s="133"/>
      <c r="K136" s="133"/>
    </row>
    <row r="137" ht="14.25" customHeight="1">
      <c r="G137" s="133"/>
      <c r="H137" s="133"/>
      <c r="I137" s="133"/>
      <c r="K137" s="133"/>
    </row>
    <row r="138" ht="14.25" customHeight="1">
      <c r="G138" s="133"/>
      <c r="H138" s="133"/>
      <c r="I138" s="133"/>
      <c r="K138" s="133"/>
    </row>
    <row r="139" ht="14.25" customHeight="1">
      <c r="G139" s="133"/>
      <c r="H139" s="133"/>
      <c r="I139" s="133"/>
      <c r="K139" s="133"/>
    </row>
    <row r="140" ht="14.25" customHeight="1">
      <c r="G140" s="133"/>
      <c r="H140" s="133"/>
      <c r="I140" s="133"/>
      <c r="K140" s="133"/>
    </row>
    <row r="141" ht="14.25" customHeight="1">
      <c r="G141" s="133"/>
      <c r="H141" s="133"/>
      <c r="I141" s="133"/>
      <c r="K141" s="133"/>
    </row>
    <row r="142" ht="14.25" customHeight="1">
      <c r="G142" s="133"/>
      <c r="H142" s="133"/>
      <c r="I142" s="133"/>
      <c r="K142" s="133"/>
    </row>
    <row r="143" ht="14.25" customHeight="1">
      <c r="G143" s="133"/>
      <c r="H143" s="133"/>
      <c r="I143" s="133"/>
      <c r="K143" s="133"/>
    </row>
    <row r="144" ht="14.25" customHeight="1">
      <c r="G144" s="133"/>
      <c r="H144" s="133"/>
      <c r="I144" s="133"/>
      <c r="K144" s="133"/>
    </row>
    <row r="145" ht="14.25" customHeight="1">
      <c r="G145" s="133"/>
      <c r="H145" s="133"/>
      <c r="I145" s="133"/>
      <c r="K145" s="133"/>
    </row>
    <row r="146" ht="14.25" customHeight="1">
      <c r="G146" s="133"/>
      <c r="H146" s="133"/>
      <c r="I146" s="133"/>
      <c r="K146" s="133"/>
    </row>
    <row r="147" ht="14.25" customHeight="1">
      <c r="G147" s="133"/>
      <c r="H147" s="133"/>
      <c r="I147" s="133"/>
      <c r="K147" s="133"/>
    </row>
    <row r="148" ht="14.25" customHeight="1">
      <c r="G148" s="133"/>
      <c r="H148" s="133"/>
      <c r="I148" s="133"/>
      <c r="K148" s="133"/>
    </row>
    <row r="149" ht="14.25" customHeight="1">
      <c r="G149" s="133"/>
      <c r="H149" s="133"/>
      <c r="I149" s="133"/>
      <c r="K149" s="133"/>
    </row>
    <row r="150" ht="14.25" customHeight="1">
      <c r="G150" s="133"/>
      <c r="H150" s="133"/>
      <c r="I150" s="133"/>
      <c r="K150" s="133"/>
    </row>
    <row r="151" ht="14.25" customHeight="1">
      <c r="G151" s="133"/>
      <c r="H151" s="133"/>
      <c r="I151" s="133"/>
      <c r="K151" s="133"/>
    </row>
    <row r="152" ht="14.25" customHeight="1">
      <c r="G152" s="133"/>
      <c r="H152" s="133"/>
      <c r="I152" s="133"/>
      <c r="K152" s="133"/>
    </row>
    <row r="153" ht="14.25" customHeight="1">
      <c r="G153" s="133"/>
      <c r="H153" s="133"/>
      <c r="I153" s="133"/>
      <c r="K153" s="133"/>
    </row>
    <row r="154" ht="14.25" customHeight="1">
      <c r="G154" s="133"/>
      <c r="H154" s="133"/>
      <c r="I154" s="133"/>
      <c r="K154" s="133"/>
    </row>
    <row r="155" ht="14.25" customHeight="1">
      <c r="G155" s="133"/>
      <c r="H155" s="133"/>
      <c r="I155" s="133"/>
      <c r="K155" s="133"/>
    </row>
    <row r="156" ht="14.25" customHeight="1">
      <c r="G156" s="133"/>
      <c r="H156" s="133"/>
      <c r="I156" s="133"/>
      <c r="K156" s="133"/>
    </row>
    <row r="157" ht="14.25" customHeight="1">
      <c r="G157" s="133"/>
      <c r="H157" s="133"/>
      <c r="I157" s="133"/>
      <c r="K157" s="133"/>
    </row>
    <row r="158" ht="14.25" customHeight="1">
      <c r="G158" s="133"/>
      <c r="H158" s="133"/>
      <c r="I158" s="133"/>
      <c r="K158" s="133"/>
    </row>
    <row r="159" ht="14.25" customHeight="1">
      <c r="G159" s="133"/>
      <c r="H159" s="133"/>
      <c r="I159" s="133"/>
      <c r="K159" s="133"/>
    </row>
    <row r="160" ht="14.25" customHeight="1">
      <c r="G160" s="133"/>
      <c r="H160" s="133"/>
      <c r="I160" s="133"/>
      <c r="K160" s="133"/>
    </row>
    <row r="161" ht="14.25" customHeight="1">
      <c r="G161" s="133"/>
      <c r="H161" s="133"/>
      <c r="I161" s="133"/>
      <c r="K161" s="133"/>
    </row>
    <row r="162" ht="14.25" customHeight="1">
      <c r="G162" s="133"/>
      <c r="H162" s="133"/>
      <c r="I162" s="133"/>
      <c r="K162" s="133"/>
    </row>
    <row r="163" ht="14.25" customHeight="1">
      <c r="G163" s="133"/>
      <c r="H163" s="133"/>
      <c r="I163" s="133"/>
      <c r="K163" s="133"/>
    </row>
    <row r="164" ht="14.25" customHeight="1">
      <c r="G164" s="133"/>
      <c r="H164" s="133"/>
      <c r="I164" s="133"/>
      <c r="K164" s="133"/>
    </row>
    <row r="165" ht="14.25" customHeight="1">
      <c r="G165" s="133"/>
      <c r="H165" s="133"/>
      <c r="I165" s="133"/>
      <c r="K165" s="133"/>
    </row>
    <row r="166" ht="14.25" customHeight="1">
      <c r="G166" s="133"/>
      <c r="H166" s="133"/>
      <c r="I166" s="133"/>
      <c r="K166" s="133"/>
    </row>
    <row r="167" ht="14.25" customHeight="1">
      <c r="G167" s="133"/>
      <c r="H167" s="133"/>
      <c r="I167" s="133"/>
      <c r="K167" s="133"/>
    </row>
    <row r="168" ht="14.25" customHeight="1">
      <c r="G168" s="133"/>
      <c r="H168" s="133"/>
      <c r="I168" s="133"/>
      <c r="K168" s="133"/>
    </row>
    <row r="169" ht="14.25" customHeight="1">
      <c r="G169" s="133"/>
      <c r="H169" s="133"/>
      <c r="I169" s="133"/>
      <c r="K169" s="133"/>
    </row>
    <row r="170" ht="14.25" customHeight="1">
      <c r="G170" s="133"/>
      <c r="H170" s="133"/>
      <c r="I170" s="133"/>
      <c r="K170" s="133"/>
    </row>
    <row r="171" ht="14.25" customHeight="1">
      <c r="G171" s="133"/>
      <c r="H171" s="133"/>
      <c r="I171" s="133"/>
      <c r="K171" s="133"/>
    </row>
    <row r="172" ht="14.25" customHeight="1">
      <c r="G172" s="133"/>
      <c r="H172" s="133"/>
      <c r="I172" s="133"/>
      <c r="K172" s="133"/>
    </row>
    <row r="173" ht="14.25" customHeight="1">
      <c r="G173" s="133"/>
      <c r="H173" s="133"/>
      <c r="I173" s="133"/>
      <c r="K173" s="133"/>
    </row>
    <row r="174" ht="14.25" customHeight="1">
      <c r="G174" s="133"/>
      <c r="H174" s="133"/>
      <c r="I174" s="133"/>
      <c r="K174" s="133"/>
    </row>
    <row r="175" ht="14.25" customHeight="1">
      <c r="G175" s="133"/>
      <c r="H175" s="133"/>
      <c r="I175" s="133"/>
      <c r="K175" s="133"/>
    </row>
    <row r="176" ht="14.25" customHeight="1">
      <c r="G176" s="133"/>
      <c r="H176" s="133"/>
      <c r="I176" s="133"/>
      <c r="K176" s="133"/>
    </row>
    <row r="177" ht="14.25" customHeight="1">
      <c r="G177" s="133"/>
      <c r="H177" s="133"/>
      <c r="I177" s="133"/>
      <c r="K177" s="133"/>
    </row>
    <row r="178" ht="14.25" customHeight="1">
      <c r="G178" s="133"/>
      <c r="H178" s="133"/>
      <c r="I178" s="133"/>
      <c r="K178" s="133"/>
    </row>
    <row r="179" ht="14.25" customHeight="1">
      <c r="G179" s="133"/>
      <c r="H179" s="133"/>
      <c r="I179" s="133"/>
      <c r="K179" s="133"/>
    </row>
    <row r="180" ht="14.25" customHeight="1">
      <c r="G180" s="133"/>
      <c r="H180" s="133"/>
      <c r="I180" s="133"/>
      <c r="K180" s="133"/>
    </row>
    <row r="181" ht="14.25" customHeight="1">
      <c r="G181" s="133"/>
      <c r="H181" s="133"/>
      <c r="I181" s="133"/>
      <c r="K181" s="133"/>
    </row>
    <row r="182" ht="14.25" customHeight="1">
      <c r="G182" s="133"/>
      <c r="H182" s="133"/>
      <c r="I182" s="133"/>
      <c r="K182" s="133"/>
    </row>
    <row r="183" ht="14.25" customHeight="1">
      <c r="G183" s="133"/>
      <c r="H183" s="133"/>
      <c r="I183" s="133"/>
      <c r="K183" s="133"/>
    </row>
    <row r="184" ht="14.25" customHeight="1">
      <c r="G184" s="133"/>
      <c r="H184" s="133"/>
      <c r="I184" s="133"/>
      <c r="K184" s="133"/>
    </row>
    <row r="185" ht="14.25" customHeight="1">
      <c r="G185" s="133"/>
      <c r="H185" s="133"/>
      <c r="I185" s="133"/>
      <c r="K185" s="133"/>
    </row>
    <row r="186" ht="14.25" customHeight="1">
      <c r="G186" s="133"/>
      <c r="H186" s="133"/>
      <c r="I186" s="133"/>
      <c r="K186" s="133"/>
    </row>
    <row r="187" ht="14.25" customHeight="1">
      <c r="G187" s="133"/>
      <c r="H187" s="133"/>
      <c r="I187" s="133"/>
      <c r="K187" s="133"/>
    </row>
    <row r="188" ht="14.25" customHeight="1">
      <c r="G188" s="133"/>
      <c r="H188" s="133"/>
      <c r="I188" s="133"/>
      <c r="K188" s="133"/>
    </row>
    <row r="189" ht="14.25" customHeight="1">
      <c r="G189" s="133"/>
      <c r="H189" s="133"/>
      <c r="I189" s="133"/>
      <c r="K189" s="133"/>
    </row>
    <row r="190" ht="14.25" customHeight="1">
      <c r="G190" s="133"/>
      <c r="H190" s="133"/>
      <c r="I190" s="133"/>
      <c r="K190" s="133"/>
    </row>
    <row r="191" ht="14.25" customHeight="1">
      <c r="G191" s="133"/>
      <c r="H191" s="133"/>
      <c r="I191" s="133"/>
      <c r="K191" s="133"/>
    </row>
    <row r="192" ht="14.25" customHeight="1">
      <c r="G192" s="133"/>
      <c r="H192" s="133"/>
      <c r="I192" s="133"/>
      <c r="K192" s="133"/>
    </row>
    <row r="193" ht="14.25" customHeight="1">
      <c r="G193" s="133"/>
      <c r="H193" s="133"/>
      <c r="I193" s="133"/>
      <c r="K193" s="133"/>
    </row>
    <row r="194" ht="14.25" customHeight="1">
      <c r="G194" s="133"/>
      <c r="H194" s="133"/>
      <c r="I194" s="133"/>
      <c r="K194" s="133"/>
    </row>
    <row r="195" ht="14.25" customHeight="1">
      <c r="G195" s="133"/>
      <c r="H195" s="133"/>
      <c r="I195" s="133"/>
      <c r="K195" s="133"/>
    </row>
    <row r="196" ht="14.25" customHeight="1">
      <c r="G196" s="133"/>
      <c r="H196" s="133"/>
      <c r="I196" s="133"/>
      <c r="K196" s="133"/>
    </row>
    <row r="197" ht="14.25" customHeight="1">
      <c r="G197" s="133"/>
      <c r="H197" s="133"/>
      <c r="I197" s="133"/>
      <c r="K197" s="133"/>
    </row>
    <row r="198" ht="14.25" customHeight="1">
      <c r="G198" s="133"/>
      <c r="H198" s="133"/>
      <c r="I198" s="133"/>
      <c r="K198" s="133"/>
    </row>
    <row r="199" ht="14.25" customHeight="1">
      <c r="G199" s="133"/>
      <c r="H199" s="133"/>
      <c r="I199" s="133"/>
      <c r="K199" s="133"/>
    </row>
    <row r="200" ht="14.25" customHeight="1">
      <c r="G200" s="133"/>
      <c r="H200" s="133"/>
      <c r="I200" s="133"/>
      <c r="K200" s="133"/>
    </row>
    <row r="201" ht="14.25" customHeight="1">
      <c r="G201" s="133"/>
      <c r="H201" s="133"/>
      <c r="I201" s="133"/>
      <c r="K201" s="133"/>
    </row>
    <row r="202" ht="14.25" customHeight="1">
      <c r="G202" s="133"/>
      <c r="H202" s="133"/>
      <c r="I202" s="133"/>
      <c r="K202" s="133"/>
    </row>
    <row r="203" ht="14.25" customHeight="1">
      <c r="G203" s="133"/>
      <c r="H203" s="133"/>
      <c r="I203" s="133"/>
      <c r="K203" s="133"/>
    </row>
    <row r="204" ht="14.25" customHeight="1">
      <c r="G204" s="133"/>
      <c r="H204" s="133"/>
      <c r="I204" s="133"/>
      <c r="K204" s="133"/>
    </row>
    <row r="205" ht="14.25" customHeight="1">
      <c r="G205" s="133"/>
      <c r="H205" s="133"/>
      <c r="I205" s="133"/>
      <c r="K205" s="133"/>
    </row>
    <row r="206" ht="14.25" customHeight="1">
      <c r="G206" s="133"/>
      <c r="H206" s="133"/>
      <c r="I206" s="133"/>
      <c r="K206" s="133"/>
    </row>
    <row r="207" ht="14.25" customHeight="1">
      <c r="G207" s="133"/>
      <c r="H207" s="133"/>
      <c r="I207" s="133"/>
      <c r="K207" s="133"/>
    </row>
    <row r="208" ht="14.25" customHeight="1">
      <c r="G208" s="133"/>
      <c r="H208" s="133"/>
      <c r="I208" s="133"/>
      <c r="K208" s="133"/>
    </row>
    <row r="209" ht="14.25" customHeight="1">
      <c r="G209" s="133"/>
      <c r="H209" s="133"/>
      <c r="I209" s="133"/>
      <c r="K209" s="133"/>
    </row>
    <row r="210" ht="14.25" customHeight="1">
      <c r="G210" s="133"/>
      <c r="H210" s="133"/>
      <c r="I210" s="133"/>
      <c r="K210" s="133"/>
    </row>
    <row r="211" ht="14.25" customHeight="1">
      <c r="G211" s="133"/>
      <c r="H211" s="133"/>
      <c r="I211" s="133"/>
      <c r="K211" s="133"/>
    </row>
    <row r="212" ht="14.25" customHeight="1">
      <c r="G212" s="133"/>
      <c r="H212" s="133"/>
      <c r="I212" s="133"/>
      <c r="K212" s="133"/>
    </row>
    <row r="213" ht="14.25" customHeight="1">
      <c r="G213" s="133"/>
      <c r="H213" s="133"/>
      <c r="I213" s="133"/>
      <c r="K213" s="133"/>
    </row>
    <row r="214" ht="14.25" customHeight="1">
      <c r="G214" s="133"/>
      <c r="H214" s="133"/>
      <c r="I214" s="133"/>
      <c r="K214" s="133"/>
    </row>
    <row r="215" ht="14.25" customHeight="1">
      <c r="G215" s="133"/>
      <c r="H215" s="133"/>
      <c r="I215" s="133"/>
      <c r="K215" s="133"/>
    </row>
    <row r="216" ht="14.25" customHeight="1">
      <c r="G216" s="133"/>
      <c r="H216" s="133"/>
      <c r="I216" s="133"/>
      <c r="K216" s="133"/>
    </row>
    <row r="217" ht="14.25" customHeight="1">
      <c r="G217" s="133"/>
      <c r="H217" s="133"/>
      <c r="I217" s="133"/>
      <c r="K217" s="133"/>
    </row>
    <row r="218" ht="14.25" customHeight="1">
      <c r="G218" s="133"/>
      <c r="H218" s="133"/>
      <c r="I218" s="133"/>
      <c r="K218" s="133"/>
    </row>
    <row r="219" ht="14.25" customHeight="1">
      <c r="G219" s="133"/>
      <c r="H219" s="133"/>
      <c r="I219" s="133"/>
      <c r="K219" s="133"/>
    </row>
    <row r="220" ht="14.25" customHeight="1">
      <c r="G220" s="133"/>
      <c r="H220" s="133"/>
      <c r="I220" s="133"/>
      <c r="K220" s="133"/>
    </row>
    <row r="221" ht="14.25" customHeight="1">
      <c r="G221" s="133"/>
      <c r="H221" s="133"/>
      <c r="I221" s="133"/>
      <c r="K221" s="133"/>
    </row>
    <row r="222" ht="14.25" customHeight="1">
      <c r="G222" s="133"/>
      <c r="H222" s="133"/>
      <c r="I222" s="133"/>
      <c r="K222" s="133"/>
    </row>
    <row r="223" ht="14.25" customHeight="1">
      <c r="G223" s="133"/>
      <c r="H223" s="133"/>
      <c r="I223" s="133"/>
      <c r="K223" s="133"/>
    </row>
    <row r="224" ht="14.25" customHeight="1">
      <c r="G224" s="133"/>
      <c r="H224" s="133"/>
      <c r="I224" s="133"/>
      <c r="K224" s="133"/>
    </row>
    <row r="225" ht="14.25" customHeight="1">
      <c r="G225" s="133"/>
      <c r="H225" s="133"/>
      <c r="I225" s="133"/>
      <c r="K225" s="133"/>
    </row>
    <row r="226" ht="14.25" customHeight="1">
      <c r="G226" s="133"/>
      <c r="H226" s="133"/>
      <c r="I226" s="133"/>
      <c r="K226" s="133"/>
    </row>
    <row r="227" ht="14.25" customHeight="1">
      <c r="G227" s="133"/>
      <c r="H227" s="133"/>
      <c r="I227" s="133"/>
      <c r="K227" s="133"/>
    </row>
    <row r="228" ht="14.25" customHeight="1">
      <c r="G228" s="133"/>
      <c r="H228" s="133"/>
      <c r="I228" s="133"/>
      <c r="K228" s="133"/>
    </row>
    <row r="229" ht="14.25" customHeight="1">
      <c r="G229" s="133"/>
      <c r="H229" s="133"/>
      <c r="I229" s="133"/>
      <c r="K229" s="133"/>
    </row>
    <row r="230" ht="14.25" customHeight="1">
      <c r="G230" s="133"/>
      <c r="H230" s="133"/>
      <c r="I230" s="133"/>
      <c r="K230" s="133"/>
    </row>
    <row r="231" ht="14.25" customHeight="1">
      <c r="G231" s="133"/>
      <c r="H231" s="133"/>
      <c r="I231" s="133"/>
      <c r="K231" s="133"/>
    </row>
    <row r="232" ht="14.25" customHeight="1">
      <c r="G232" s="133"/>
      <c r="H232" s="133"/>
      <c r="I232" s="133"/>
      <c r="K232" s="133"/>
    </row>
    <row r="233" ht="14.25" customHeight="1">
      <c r="G233" s="133"/>
      <c r="H233" s="133"/>
      <c r="I233" s="133"/>
      <c r="K233" s="133"/>
    </row>
    <row r="234" ht="14.25" customHeight="1">
      <c r="G234" s="133"/>
      <c r="H234" s="133"/>
      <c r="I234" s="133"/>
      <c r="K234" s="133"/>
    </row>
    <row r="235" ht="14.25" customHeight="1">
      <c r="G235" s="133"/>
      <c r="H235" s="133"/>
      <c r="I235" s="133"/>
      <c r="K235" s="133"/>
    </row>
    <row r="236" ht="14.25" customHeight="1">
      <c r="G236" s="133"/>
      <c r="H236" s="133"/>
      <c r="I236" s="133"/>
      <c r="K236" s="133"/>
    </row>
    <row r="237" ht="14.25" customHeight="1">
      <c r="G237" s="133"/>
      <c r="H237" s="133"/>
      <c r="I237" s="133"/>
      <c r="K237" s="133"/>
    </row>
    <row r="238" ht="14.25" customHeight="1">
      <c r="G238" s="133"/>
      <c r="H238" s="133"/>
      <c r="I238" s="133"/>
      <c r="K238" s="133"/>
    </row>
    <row r="239" ht="14.25" customHeight="1">
      <c r="G239" s="133"/>
      <c r="H239" s="133"/>
      <c r="I239" s="133"/>
      <c r="K239" s="133"/>
    </row>
    <row r="240" ht="14.25" customHeight="1">
      <c r="G240" s="133"/>
      <c r="H240" s="133"/>
      <c r="I240" s="133"/>
      <c r="K240" s="133"/>
    </row>
    <row r="241" ht="14.25" customHeight="1">
      <c r="G241" s="133"/>
      <c r="H241" s="133"/>
      <c r="I241" s="133"/>
      <c r="K241" s="133"/>
    </row>
    <row r="242" ht="14.25" customHeight="1">
      <c r="G242" s="133"/>
      <c r="H242" s="133"/>
      <c r="I242" s="133"/>
      <c r="K242" s="133"/>
    </row>
    <row r="243" ht="14.25" customHeight="1">
      <c r="G243" s="133"/>
      <c r="H243" s="133"/>
      <c r="I243" s="133"/>
      <c r="K243" s="133"/>
    </row>
    <row r="244" ht="14.25" customHeight="1">
      <c r="G244" s="133"/>
      <c r="H244" s="133"/>
      <c r="I244" s="133"/>
      <c r="K244" s="133"/>
    </row>
    <row r="245" ht="14.25" customHeight="1">
      <c r="G245" s="133"/>
      <c r="H245" s="133"/>
      <c r="I245" s="133"/>
      <c r="K245" s="133"/>
    </row>
    <row r="246" ht="14.25" customHeight="1">
      <c r="G246" s="133"/>
      <c r="H246" s="133"/>
      <c r="I246" s="133"/>
      <c r="K246" s="133"/>
    </row>
    <row r="247" ht="14.25" customHeight="1">
      <c r="G247" s="133"/>
      <c r="H247" s="133"/>
      <c r="I247" s="133"/>
      <c r="K247" s="133"/>
    </row>
    <row r="248" ht="14.25" customHeight="1">
      <c r="G248" s="133"/>
      <c r="H248" s="133"/>
      <c r="I248" s="133"/>
      <c r="K248" s="133"/>
    </row>
    <row r="249" ht="14.25" customHeight="1">
      <c r="G249" s="133"/>
      <c r="H249" s="133"/>
      <c r="I249" s="133"/>
      <c r="K249" s="133"/>
    </row>
    <row r="250" ht="14.25" customHeight="1">
      <c r="G250" s="133"/>
      <c r="H250" s="133"/>
      <c r="I250" s="133"/>
      <c r="K250" s="133"/>
    </row>
    <row r="251" ht="14.25" customHeight="1">
      <c r="G251" s="133"/>
      <c r="H251" s="133"/>
      <c r="I251" s="133"/>
      <c r="K251" s="133"/>
    </row>
    <row r="252" ht="14.25" customHeight="1">
      <c r="G252" s="133"/>
      <c r="H252" s="133"/>
      <c r="I252" s="133"/>
      <c r="K252" s="133"/>
    </row>
    <row r="253" ht="14.25" customHeight="1">
      <c r="G253" s="133"/>
      <c r="H253" s="133"/>
      <c r="I253" s="133"/>
      <c r="K253" s="133"/>
    </row>
    <row r="254" ht="14.25" customHeight="1">
      <c r="G254" s="133"/>
      <c r="H254" s="133"/>
      <c r="I254" s="133"/>
      <c r="K254" s="133"/>
    </row>
    <row r="255" ht="14.25" customHeight="1">
      <c r="G255" s="133"/>
      <c r="H255" s="133"/>
      <c r="I255" s="133"/>
      <c r="K255" s="133"/>
    </row>
    <row r="256" ht="14.25" customHeight="1">
      <c r="G256" s="133"/>
      <c r="H256" s="133"/>
      <c r="I256" s="133"/>
      <c r="K256" s="133"/>
    </row>
    <row r="257" ht="14.25" customHeight="1">
      <c r="G257" s="133"/>
      <c r="H257" s="133"/>
      <c r="I257" s="133"/>
      <c r="K257" s="133"/>
    </row>
    <row r="258" ht="14.25" customHeight="1">
      <c r="G258" s="133"/>
      <c r="H258" s="133"/>
      <c r="I258" s="133"/>
      <c r="K258" s="133"/>
    </row>
    <row r="259" ht="14.25" customHeight="1">
      <c r="G259" s="133"/>
      <c r="H259" s="133"/>
      <c r="I259" s="133"/>
      <c r="K259" s="133"/>
    </row>
    <row r="260" ht="14.25" customHeight="1">
      <c r="G260" s="133"/>
      <c r="H260" s="133"/>
      <c r="I260" s="133"/>
      <c r="K260" s="133"/>
    </row>
    <row r="261" ht="14.25" customHeight="1">
      <c r="G261" s="133"/>
      <c r="H261" s="133"/>
      <c r="I261" s="133"/>
      <c r="K261" s="133"/>
    </row>
    <row r="262" ht="14.25" customHeight="1">
      <c r="G262" s="133"/>
      <c r="H262" s="133"/>
      <c r="I262" s="133"/>
      <c r="K262" s="133"/>
    </row>
    <row r="263" ht="14.25" customHeight="1">
      <c r="G263" s="133"/>
      <c r="H263" s="133"/>
      <c r="I263" s="133"/>
      <c r="K263" s="133"/>
    </row>
    <row r="264" ht="14.25" customHeight="1">
      <c r="G264" s="133"/>
      <c r="H264" s="133"/>
      <c r="I264" s="133"/>
      <c r="K264" s="133"/>
    </row>
    <row r="265" ht="14.25" customHeight="1">
      <c r="G265" s="133"/>
      <c r="H265" s="133"/>
      <c r="I265" s="133"/>
      <c r="K265" s="133"/>
    </row>
    <row r="266" ht="14.25" customHeight="1">
      <c r="G266" s="133"/>
      <c r="H266" s="133"/>
      <c r="I266" s="133"/>
      <c r="K266" s="133"/>
    </row>
    <row r="267" ht="14.25" customHeight="1">
      <c r="G267" s="133"/>
      <c r="H267" s="133"/>
      <c r="I267" s="133"/>
      <c r="K267" s="133"/>
    </row>
    <row r="268" ht="14.25" customHeight="1">
      <c r="G268" s="133"/>
      <c r="H268" s="133"/>
      <c r="I268" s="133"/>
      <c r="K268" s="133"/>
    </row>
    <row r="269" ht="14.25" customHeight="1">
      <c r="G269" s="133"/>
      <c r="H269" s="133"/>
      <c r="I269" s="133"/>
      <c r="K269" s="133"/>
    </row>
    <row r="270" ht="14.25" customHeight="1">
      <c r="G270" s="133"/>
      <c r="H270" s="133"/>
      <c r="I270" s="133"/>
      <c r="K270" s="133"/>
    </row>
    <row r="271" ht="14.25" customHeight="1">
      <c r="G271" s="133"/>
      <c r="H271" s="133"/>
      <c r="I271" s="133"/>
      <c r="K271" s="133"/>
    </row>
    <row r="272" ht="14.25" customHeight="1">
      <c r="G272" s="133"/>
      <c r="H272" s="133"/>
      <c r="I272" s="133"/>
      <c r="K272" s="133"/>
    </row>
    <row r="273" ht="14.25" customHeight="1">
      <c r="G273" s="133"/>
      <c r="H273" s="133"/>
      <c r="I273" s="133"/>
      <c r="K273" s="133"/>
    </row>
    <row r="274" ht="14.25" customHeight="1">
      <c r="G274" s="133"/>
      <c r="H274" s="133"/>
      <c r="I274" s="133"/>
      <c r="K274" s="133"/>
    </row>
    <row r="275" ht="14.25" customHeight="1">
      <c r="G275" s="133"/>
      <c r="H275" s="133"/>
      <c r="I275" s="133"/>
      <c r="K275" s="133"/>
    </row>
    <row r="276" ht="14.25" customHeight="1">
      <c r="G276" s="133"/>
      <c r="H276" s="133"/>
      <c r="I276" s="133"/>
      <c r="K276" s="133"/>
    </row>
    <row r="277" ht="14.25" customHeight="1">
      <c r="G277" s="133"/>
      <c r="H277" s="133"/>
      <c r="I277" s="133"/>
      <c r="K277" s="133"/>
    </row>
    <row r="278" ht="14.25" customHeight="1">
      <c r="G278" s="133"/>
      <c r="H278" s="133"/>
      <c r="I278" s="133"/>
      <c r="K278" s="133"/>
    </row>
    <row r="279" ht="14.25" customHeight="1">
      <c r="G279" s="133"/>
      <c r="H279" s="133"/>
      <c r="I279" s="133"/>
      <c r="K279" s="133"/>
    </row>
    <row r="280" ht="14.25" customHeight="1">
      <c r="G280" s="133"/>
      <c r="H280" s="133"/>
      <c r="I280" s="133"/>
      <c r="K280" s="133"/>
    </row>
    <row r="281" ht="14.25" customHeight="1">
      <c r="G281" s="133"/>
      <c r="H281" s="133"/>
      <c r="I281" s="133"/>
      <c r="K281" s="133"/>
    </row>
    <row r="282" ht="14.25" customHeight="1">
      <c r="G282" s="133"/>
      <c r="H282" s="133"/>
      <c r="I282" s="133"/>
      <c r="K282" s="133"/>
    </row>
    <row r="283" ht="14.25" customHeight="1">
      <c r="G283" s="133"/>
      <c r="H283" s="133"/>
      <c r="I283" s="133"/>
      <c r="K283" s="133"/>
    </row>
    <row r="284" ht="14.25" customHeight="1">
      <c r="G284" s="133"/>
      <c r="H284" s="133"/>
      <c r="I284" s="133"/>
      <c r="K284" s="133"/>
    </row>
    <row r="285" ht="14.25" customHeight="1">
      <c r="G285" s="133"/>
      <c r="H285" s="133"/>
      <c r="I285" s="133"/>
      <c r="K285" s="133"/>
    </row>
    <row r="286" ht="14.25" customHeight="1">
      <c r="G286" s="133"/>
      <c r="H286" s="133"/>
      <c r="I286" s="133"/>
      <c r="K286" s="133"/>
    </row>
    <row r="287" ht="14.25" customHeight="1">
      <c r="G287" s="133"/>
      <c r="H287" s="133"/>
      <c r="I287" s="133"/>
      <c r="K287" s="133"/>
    </row>
    <row r="288" ht="14.25" customHeight="1">
      <c r="G288" s="133"/>
      <c r="H288" s="133"/>
      <c r="I288" s="133"/>
      <c r="K288" s="133"/>
    </row>
    <row r="289" ht="14.25" customHeight="1">
      <c r="G289" s="133"/>
      <c r="H289" s="133"/>
      <c r="I289" s="133"/>
      <c r="K289" s="133"/>
    </row>
    <row r="290" ht="14.25" customHeight="1">
      <c r="G290" s="133"/>
      <c r="H290" s="133"/>
      <c r="I290" s="133"/>
      <c r="K290" s="133"/>
    </row>
    <row r="291" ht="14.25" customHeight="1">
      <c r="G291" s="133"/>
      <c r="H291" s="133"/>
      <c r="I291" s="133"/>
      <c r="K291" s="133"/>
    </row>
    <row r="292" ht="14.25" customHeight="1">
      <c r="G292" s="133"/>
      <c r="H292" s="133"/>
      <c r="I292" s="133"/>
      <c r="K292" s="133"/>
    </row>
    <row r="293" ht="14.25" customHeight="1">
      <c r="G293" s="133"/>
      <c r="H293" s="133"/>
      <c r="I293" s="133"/>
      <c r="K293" s="133"/>
    </row>
    <row r="294" ht="14.25" customHeight="1">
      <c r="G294" s="133"/>
      <c r="H294" s="133"/>
      <c r="I294" s="133"/>
      <c r="K294" s="133"/>
    </row>
    <row r="295" ht="14.25" customHeight="1">
      <c r="G295" s="133"/>
      <c r="H295" s="133"/>
      <c r="I295" s="133"/>
      <c r="K295" s="133"/>
    </row>
    <row r="296" ht="14.25" customHeight="1">
      <c r="G296" s="133"/>
      <c r="H296" s="133"/>
      <c r="I296" s="133"/>
      <c r="K296" s="133"/>
    </row>
    <row r="297" ht="14.25" customHeight="1">
      <c r="G297" s="133"/>
      <c r="H297" s="133"/>
      <c r="I297" s="133"/>
      <c r="K297" s="133"/>
    </row>
    <row r="298" ht="14.25" customHeight="1">
      <c r="G298" s="133"/>
      <c r="H298" s="133"/>
      <c r="I298" s="133"/>
      <c r="K298" s="133"/>
    </row>
    <row r="299" ht="14.25" customHeight="1">
      <c r="G299" s="133"/>
      <c r="H299" s="133"/>
      <c r="I299" s="133"/>
      <c r="K299" s="133"/>
    </row>
    <row r="300" ht="14.25" customHeight="1">
      <c r="G300" s="133"/>
      <c r="H300" s="133"/>
      <c r="I300" s="133"/>
      <c r="K300" s="133"/>
    </row>
    <row r="301" ht="14.25" customHeight="1">
      <c r="G301" s="133"/>
      <c r="H301" s="133"/>
      <c r="I301" s="133"/>
      <c r="K301" s="133"/>
    </row>
    <row r="302" ht="14.25" customHeight="1">
      <c r="G302" s="133"/>
      <c r="H302" s="133"/>
      <c r="I302" s="133"/>
      <c r="K302" s="133"/>
    </row>
    <row r="303" ht="14.25" customHeight="1">
      <c r="G303" s="133"/>
      <c r="H303" s="133"/>
      <c r="I303" s="133"/>
      <c r="K303" s="133"/>
    </row>
    <row r="304" ht="14.25" customHeight="1">
      <c r="G304" s="133"/>
      <c r="H304" s="133"/>
      <c r="I304" s="133"/>
      <c r="K304" s="133"/>
    </row>
    <row r="305" ht="14.25" customHeight="1">
      <c r="G305" s="133"/>
      <c r="H305" s="133"/>
      <c r="I305" s="133"/>
      <c r="K305" s="133"/>
    </row>
    <row r="306" ht="14.25" customHeight="1">
      <c r="G306" s="133"/>
      <c r="H306" s="133"/>
      <c r="I306" s="133"/>
      <c r="K306" s="133"/>
    </row>
    <row r="307" ht="14.25" customHeight="1">
      <c r="G307" s="133"/>
      <c r="H307" s="133"/>
      <c r="I307" s="133"/>
      <c r="K307" s="133"/>
    </row>
    <row r="308" ht="14.25" customHeight="1">
      <c r="G308" s="133"/>
      <c r="H308" s="133"/>
      <c r="I308" s="133"/>
      <c r="K308" s="133"/>
    </row>
    <row r="309" ht="14.25" customHeight="1">
      <c r="G309" s="133"/>
      <c r="H309" s="133"/>
      <c r="I309" s="133"/>
      <c r="K309" s="133"/>
    </row>
    <row r="310" ht="14.25" customHeight="1">
      <c r="G310" s="133"/>
      <c r="H310" s="133"/>
      <c r="I310" s="133"/>
      <c r="K310" s="133"/>
    </row>
    <row r="311" ht="14.25" customHeight="1">
      <c r="G311" s="133"/>
      <c r="H311" s="133"/>
      <c r="I311" s="133"/>
      <c r="K311" s="133"/>
    </row>
    <row r="312" ht="14.25" customHeight="1">
      <c r="G312" s="133"/>
      <c r="H312" s="133"/>
      <c r="I312" s="133"/>
      <c r="K312" s="133"/>
    </row>
    <row r="313" ht="14.25" customHeight="1">
      <c r="G313" s="133"/>
      <c r="H313" s="133"/>
      <c r="I313" s="133"/>
      <c r="K313" s="133"/>
    </row>
    <row r="314" ht="14.25" customHeight="1">
      <c r="G314" s="133"/>
      <c r="H314" s="133"/>
      <c r="I314" s="133"/>
      <c r="K314" s="133"/>
    </row>
    <row r="315" ht="14.25" customHeight="1">
      <c r="G315" s="133"/>
      <c r="H315" s="133"/>
      <c r="I315" s="133"/>
      <c r="K315" s="133"/>
    </row>
    <row r="316" ht="14.25" customHeight="1">
      <c r="G316" s="133"/>
      <c r="H316" s="133"/>
      <c r="I316" s="133"/>
      <c r="K316" s="133"/>
    </row>
    <row r="317" ht="14.25" customHeight="1">
      <c r="G317" s="133"/>
      <c r="H317" s="133"/>
      <c r="I317" s="133"/>
      <c r="K317" s="133"/>
    </row>
    <row r="318" ht="14.25" customHeight="1">
      <c r="G318" s="133"/>
      <c r="H318" s="133"/>
      <c r="I318" s="133"/>
      <c r="K318" s="133"/>
    </row>
    <row r="319" ht="14.25" customHeight="1">
      <c r="G319" s="133"/>
      <c r="H319" s="133"/>
      <c r="I319" s="133"/>
      <c r="K319" s="133"/>
    </row>
    <row r="320" ht="14.25" customHeight="1">
      <c r="G320" s="133"/>
      <c r="H320" s="133"/>
      <c r="I320" s="133"/>
      <c r="K320" s="133"/>
    </row>
    <row r="321" ht="14.25" customHeight="1">
      <c r="G321" s="133"/>
      <c r="H321" s="133"/>
      <c r="I321" s="133"/>
      <c r="K321" s="133"/>
    </row>
    <row r="322" ht="14.25" customHeight="1">
      <c r="G322" s="133"/>
      <c r="H322" s="133"/>
      <c r="I322" s="133"/>
      <c r="K322" s="133"/>
    </row>
    <row r="323" ht="14.25" customHeight="1">
      <c r="G323" s="133"/>
      <c r="H323" s="133"/>
      <c r="I323" s="133"/>
      <c r="K323" s="133"/>
    </row>
    <row r="324" ht="14.25" customHeight="1">
      <c r="G324" s="133"/>
      <c r="H324" s="133"/>
      <c r="I324" s="133"/>
      <c r="K324" s="133"/>
    </row>
    <row r="325" ht="14.25" customHeight="1">
      <c r="G325" s="133"/>
      <c r="H325" s="133"/>
      <c r="I325" s="133"/>
      <c r="K325" s="133"/>
    </row>
    <row r="326" ht="14.25" customHeight="1">
      <c r="G326" s="133"/>
      <c r="H326" s="133"/>
      <c r="I326" s="133"/>
      <c r="K326" s="133"/>
    </row>
    <row r="327" ht="14.25" customHeight="1">
      <c r="G327" s="133"/>
      <c r="H327" s="133"/>
      <c r="I327" s="133"/>
      <c r="K327" s="133"/>
    </row>
    <row r="328" ht="14.25" customHeight="1">
      <c r="G328" s="133"/>
      <c r="H328" s="133"/>
      <c r="I328" s="133"/>
      <c r="K328" s="133"/>
    </row>
    <row r="329" ht="14.25" customHeight="1">
      <c r="G329" s="133"/>
      <c r="H329" s="133"/>
      <c r="I329" s="133"/>
      <c r="K329" s="133"/>
    </row>
    <row r="330" ht="14.25" customHeight="1">
      <c r="G330" s="133"/>
      <c r="H330" s="133"/>
      <c r="I330" s="133"/>
      <c r="K330" s="133"/>
    </row>
    <row r="331" ht="14.25" customHeight="1">
      <c r="G331" s="133"/>
      <c r="H331" s="133"/>
      <c r="I331" s="133"/>
      <c r="K331" s="133"/>
    </row>
    <row r="332" ht="14.25" customHeight="1">
      <c r="G332" s="133"/>
      <c r="H332" s="133"/>
      <c r="I332" s="133"/>
      <c r="K332" s="133"/>
    </row>
    <row r="333" ht="14.25" customHeight="1">
      <c r="G333" s="133"/>
      <c r="H333" s="133"/>
      <c r="I333" s="133"/>
      <c r="K333" s="133"/>
    </row>
    <row r="334" ht="14.25" customHeight="1">
      <c r="G334" s="133"/>
      <c r="H334" s="133"/>
      <c r="I334" s="133"/>
      <c r="K334" s="133"/>
    </row>
    <row r="335" ht="14.25" customHeight="1">
      <c r="G335" s="133"/>
      <c r="H335" s="133"/>
      <c r="I335" s="133"/>
      <c r="K335" s="133"/>
    </row>
    <row r="336" ht="14.25" customHeight="1">
      <c r="G336" s="133"/>
      <c r="H336" s="133"/>
      <c r="I336" s="133"/>
      <c r="K336" s="133"/>
    </row>
    <row r="337" ht="14.25" customHeight="1">
      <c r="G337" s="133"/>
      <c r="H337" s="133"/>
      <c r="I337" s="133"/>
      <c r="K337" s="133"/>
    </row>
    <row r="338" ht="14.25" customHeight="1">
      <c r="G338" s="133"/>
      <c r="H338" s="133"/>
      <c r="I338" s="133"/>
      <c r="K338" s="133"/>
    </row>
    <row r="339" ht="14.25" customHeight="1">
      <c r="G339" s="133"/>
      <c r="H339" s="133"/>
      <c r="I339" s="133"/>
      <c r="K339" s="133"/>
    </row>
    <row r="340" ht="14.25" customHeight="1">
      <c r="G340" s="133"/>
      <c r="H340" s="133"/>
      <c r="I340" s="133"/>
      <c r="K340" s="133"/>
    </row>
    <row r="341" ht="14.25" customHeight="1">
      <c r="G341" s="133"/>
      <c r="H341" s="133"/>
      <c r="I341" s="133"/>
      <c r="K341" s="133"/>
    </row>
    <row r="342" ht="14.25" customHeight="1">
      <c r="G342" s="133"/>
      <c r="H342" s="133"/>
      <c r="I342" s="133"/>
      <c r="K342" s="133"/>
    </row>
    <row r="343" ht="14.25" customHeight="1">
      <c r="G343" s="133"/>
      <c r="H343" s="133"/>
      <c r="I343" s="133"/>
      <c r="K343" s="133"/>
    </row>
    <row r="344" ht="14.25" customHeight="1">
      <c r="G344" s="133"/>
      <c r="H344" s="133"/>
      <c r="I344" s="133"/>
      <c r="K344" s="133"/>
    </row>
    <row r="345" ht="14.25" customHeight="1">
      <c r="G345" s="133"/>
      <c r="H345" s="133"/>
      <c r="I345" s="133"/>
      <c r="K345" s="133"/>
    </row>
    <row r="346" ht="14.25" customHeight="1">
      <c r="G346" s="133"/>
      <c r="H346" s="133"/>
      <c r="I346" s="133"/>
      <c r="K346" s="133"/>
    </row>
    <row r="347" ht="14.25" customHeight="1">
      <c r="G347" s="133"/>
      <c r="H347" s="133"/>
      <c r="I347" s="133"/>
      <c r="K347" s="133"/>
    </row>
    <row r="348" ht="14.25" customHeight="1">
      <c r="G348" s="133"/>
      <c r="H348" s="133"/>
      <c r="I348" s="133"/>
      <c r="K348" s="133"/>
    </row>
    <row r="349" ht="14.25" customHeight="1">
      <c r="G349" s="133"/>
      <c r="H349" s="133"/>
      <c r="I349" s="133"/>
      <c r="K349" s="133"/>
    </row>
    <row r="350" ht="14.25" customHeight="1">
      <c r="G350" s="133"/>
      <c r="H350" s="133"/>
      <c r="I350" s="133"/>
      <c r="K350" s="133"/>
    </row>
    <row r="351" ht="14.25" customHeight="1">
      <c r="G351" s="133"/>
      <c r="H351" s="133"/>
      <c r="I351" s="133"/>
      <c r="K351" s="133"/>
    </row>
    <row r="352" ht="14.25" customHeight="1">
      <c r="G352" s="133"/>
      <c r="H352" s="133"/>
      <c r="I352" s="133"/>
      <c r="K352" s="133"/>
    </row>
    <row r="353" ht="14.25" customHeight="1">
      <c r="G353" s="133"/>
      <c r="H353" s="133"/>
      <c r="I353" s="133"/>
      <c r="K353" s="133"/>
    </row>
    <row r="354" ht="14.25" customHeight="1">
      <c r="G354" s="133"/>
      <c r="H354" s="133"/>
      <c r="I354" s="133"/>
      <c r="K354" s="133"/>
    </row>
    <row r="355" ht="14.25" customHeight="1">
      <c r="G355" s="133"/>
      <c r="H355" s="133"/>
      <c r="I355" s="133"/>
      <c r="K355" s="133"/>
    </row>
    <row r="356" ht="14.25" customHeight="1">
      <c r="G356" s="133"/>
      <c r="H356" s="133"/>
      <c r="I356" s="133"/>
      <c r="K356" s="133"/>
    </row>
    <row r="357" ht="14.25" customHeight="1">
      <c r="G357" s="133"/>
      <c r="H357" s="133"/>
      <c r="I357" s="133"/>
      <c r="K357" s="133"/>
    </row>
    <row r="358" ht="14.25" customHeight="1">
      <c r="G358" s="133"/>
      <c r="H358" s="133"/>
      <c r="I358" s="133"/>
      <c r="K358" s="133"/>
    </row>
    <row r="359" ht="14.25" customHeight="1">
      <c r="G359" s="133"/>
      <c r="H359" s="133"/>
      <c r="I359" s="133"/>
      <c r="K359" s="133"/>
    </row>
    <row r="360" ht="14.25" customHeight="1">
      <c r="G360" s="133"/>
      <c r="H360" s="133"/>
      <c r="I360" s="133"/>
      <c r="K360" s="133"/>
    </row>
    <row r="361" ht="14.25" customHeight="1">
      <c r="G361" s="133"/>
      <c r="H361" s="133"/>
      <c r="I361" s="133"/>
      <c r="K361" s="133"/>
    </row>
    <row r="362" ht="14.25" customHeight="1">
      <c r="G362" s="133"/>
      <c r="H362" s="133"/>
      <c r="I362" s="133"/>
      <c r="K362" s="133"/>
    </row>
    <row r="363" ht="14.25" customHeight="1">
      <c r="G363" s="133"/>
      <c r="H363" s="133"/>
      <c r="I363" s="133"/>
      <c r="K363" s="133"/>
    </row>
    <row r="364" ht="14.25" customHeight="1">
      <c r="G364" s="133"/>
      <c r="H364" s="133"/>
      <c r="I364" s="133"/>
      <c r="K364" s="133"/>
    </row>
    <row r="365" ht="14.25" customHeight="1">
      <c r="G365" s="133"/>
      <c r="H365" s="133"/>
      <c r="I365" s="133"/>
      <c r="K365" s="133"/>
    </row>
    <row r="366" ht="14.25" customHeight="1">
      <c r="G366" s="133"/>
      <c r="H366" s="133"/>
      <c r="I366" s="133"/>
      <c r="K366" s="133"/>
    </row>
    <row r="367" ht="14.25" customHeight="1">
      <c r="G367" s="133"/>
      <c r="H367" s="133"/>
      <c r="I367" s="133"/>
      <c r="K367" s="133"/>
    </row>
    <row r="368" ht="14.25" customHeight="1">
      <c r="G368" s="133"/>
      <c r="H368" s="133"/>
      <c r="I368" s="133"/>
      <c r="K368" s="133"/>
    </row>
    <row r="369" ht="14.25" customHeight="1">
      <c r="G369" s="133"/>
      <c r="H369" s="133"/>
      <c r="I369" s="133"/>
      <c r="K369" s="133"/>
    </row>
    <row r="370" ht="14.25" customHeight="1">
      <c r="G370" s="133"/>
      <c r="H370" s="133"/>
      <c r="I370" s="133"/>
      <c r="K370" s="133"/>
    </row>
    <row r="371" ht="14.25" customHeight="1">
      <c r="G371" s="133"/>
      <c r="H371" s="133"/>
      <c r="I371" s="133"/>
      <c r="K371" s="133"/>
    </row>
    <row r="372" ht="14.25" customHeight="1">
      <c r="G372" s="133"/>
      <c r="H372" s="133"/>
      <c r="I372" s="133"/>
      <c r="K372" s="133"/>
    </row>
    <row r="373" ht="14.25" customHeight="1">
      <c r="G373" s="133"/>
      <c r="H373" s="133"/>
      <c r="I373" s="133"/>
      <c r="K373" s="133"/>
    </row>
    <row r="374" ht="14.25" customHeight="1">
      <c r="G374" s="133"/>
      <c r="H374" s="133"/>
      <c r="I374" s="133"/>
      <c r="K374" s="133"/>
    </row>
    <row r="375" ht="14.25" customHeight="1">
      <c r="G375" s="133"/>
      <c r="H375" s="133"/>
      <c r="I375" s="133"/>
      <c r="K375" s="133"/>
    </row>
    <row r="376" ht="14.25" customHeight="1">
      <c r="G376" s="133"/>
      <c r="H376" s="133"/>
      <c r="I376" s="133"/>
      <c r="K376" s="133"/>
    </row>
    <row r="377" ht="14.25" customHeight="1">
      <c r="G377" s="133"/>
      <c r="H377" s="133"/>
      <c r="I377" s="133"/>
      <c r="K377" s="133"/>
    </row>
    <row r="378" ht="14.25" customHeight="1">
      <c r="G378" s="133"/>
      <c r="H378" s="133"/>
      <c r="I378" s="133"/>
      <c r="K378" s="133"/>
    </row>
    <row r="379" ht="14.25" customHeight="1">
      <c r="G379" s="133"/>
      <c r="H379" s="133"/>
      <c r="I379" s="133"/>
      <c r="K379" s="133"/>
    </row>
    <row r="380" ht="14.25" customHeight="1">
      <c r="G380" s="133"/>
      <c r="H380" s="133"/>
      <c r="I380" s="133"/>
      <c r="K380" s="133"/>
    </row>
    <row r="381" ht="14.25" customHeight="1">
      <c r="G381" s="133"/>
      <c r="H381" s="133"/>
      <c r="I381" s="133"/>
      <c r="K381" s="133"/>
    </row>
    <row r="382" ht="14.25" customHeight="1">
      <c r="G382" s="133"/>
      <c r="H382" s="133"/>
      <c r="I382" s="133"/>
      <c r="K382" s="133"/>
    </row>
    <row r="383" ht="14.25" customHeight="1">
      <c r="G383" s="133"/>
      <c r="H383" s="133"/>
      <c r="I383" s="133"/>
      <c r="K383" s="133"/>
    </row>
    <row r="384" ht="14.25" customHeight="1">
      <c r="G384" s="133"/>
      <c r="H384" s="133"/>
      <c r="I384" s="133"/>
      <c r="K384" s="133"/>
    </row>
    <row r="385" ht="14.25" customHeight="1">
      <c r="G385" s="133"/>
      <c r="H385" s="133"/>
      <c r="I385" s="133"/>
      <c r="K385" s="133"/>
    </row>
    <row r="386" ht="14.25" customHeight="1">
      <c r="G386" s="133"/>
      <c r="H386" s="133"/>
      <c r="I386" s="133"/>
      <c r="K386" s="133"/>
    </row>
    <row r="387" ht="14.25" customHeight="1">
      <c r="G387" s="133"/>
      <c r="H387" s="133"/>
      <c r="I387" s="133"/>
      <c r="K387" s="133"/>
    </row>
    <row r="388" ht="14.25" customHeight="1">
      <c r="G388" s="133"/>
      <c r="H388" s="133"/>
      <c r="I388" s="133"/>
      <c r="K388" s="133"/>
    </row>
    <row r="389" ht="14.25" customHeight="1">
      <c r="G389" s="133"/>
      <c r="H389" s="133"/>
      <c r="I389" s="133"/>
      <c r="K389" s="133"/>
    </row>
    <row r="390" ht="14.25" customHeight="1">
      <c r="G390" s="133"/>
      <c r="H390" s="133"/>
      <c r="I390" s="133"/>
      <c r="K390" s="133"/>
    </row>
    <row r="391" ht="14.25" customHeight="1">
      <c r="G391" s="133"/>
      <c r="H391" s="133"/>
      <c r="I391" s="133"/>
      <c r="K391" s="133"/>
    </row>
    <row r="392" ht="14.25" customHeight="1">
      <c r="G392" s="133"/>
      <c r="H392" s="133"/>
      <c r="I392" s="133"/>
      <c r="K392" s="133"/>
    </row>
    <row r="393" ht="14.25" customHeight="1">
      <c r="G393" s="133"/>
      <c r="H393" s="133"/>
      <c r="I393" s="133"/>
      <c r="K393" s="133"/>
    </row>
    <row r="394" ht="14.25" customHeight="1">
      <c r="G394" s="133"/>
      <c r="H394" s="133"/>
      <c r="I394" s="133"/>
      <c r="K394" s="133"/>
    </row>
    <row r="395" ht="14.25" customHeight="1">
      <c r="G395" s="133"/>
      <c r="H395" s="133"/>
      <c r="I395" s="133"/>
      <c r="K395" s="133"/>
    </row>
    <row r="396" ht="14.25" customHeight="1">
      <c r="G396" s="133"/>
      <c r="H396" s="133"/>
      <c r="I396" s="133"/>
      <c r="K396" s="133"/>
    </row>
    <row r="397" ht="14.25" customHeight="1">
      <c r="G397" s="133"/>
      <c r="H397" s="133"/>
      <c r="I397" s="133"/>
      <c r="K397" s="133"/>
    </row>
    <row r="398" ht="14.25" customHeight="1">
      <c r="G398" s="133"/>
      <c r="H398" s="133"/>
      <c r="I398" s="133"/>
      <c r="K398" s="133"/>
    </row>
    <row r="399" ht="14.25" customHeight="1">
      <c r="G399" s="133"/>
      <c r="H399" s="133"/>
      <c r="I399" s="133"/>
      <c r="K399" s="133"/>
    </row>
    <row r="400" ht="14.25" customHeight="1">
      <c r="G400" s="133"/>
      <c r="H400" s="133"/>
      <c r="I400" s="133"/>
      <c r="K400" s="133"/>
    </row>
    <row r="401" ht="14.25" customHeight="1">
      <c r="G401" s="133"/>
      <c r="H401" s="133"/>
      <c r="I401" s="133"/>
      <c r="K401" s="133"/>
    </row>
    <row r="402" ht="14.25" customHeight="1">
      <c r="G402" s="133"/>
      <c r="H402" s="133"/>
      <c r="I402" s="133"/>
      <c r="K402" s="133"/>
    </row>
    <row r="403" ht="14.25" customHeight="1">
      <c r="G403" s="133"/>
      <c r="H403" s="133"/>
      <c r="I403" s="133"/>
      <c r="K403" s="133"/>
    </row>
    <row r="404" ht="14.25" customHeight="1">
      <c r="G404" s="133"/>
      <c r="H404" s="133"/>
      <c r="I404" s="133"/>
      <c r="K404" s="133"/>
    </row>
    <row r="405" ht="14.25" customHeight="1">
      <c r="G405" s="133"/>
      <c r="H405" s="133"/>
      <c r="I405" s="133"/>
      <c r="K405" s="133"/>
    </row>
    <row r="406" ht="14.25" customHeight="1">
      <c r="G406" s="133"/>
      <c r="H406" s="133"/>
      <c r="I406" s="133"/>
      <c r="K406" s="133"/>
    </row>
    <row r="407" ht="14.25" customHeight="1">
      <c r="G407" s="133"/>
      <c r="H407" s="133"/>
      <c r="I407" s="133"/>
      <c r="K407" s="133"/>
    </row>
    <row r="408" ht="14.25" customHeight="1">
      <c r="G408" s="133"/>
      <c r="H408" s="133"/>
      <c r="I408" s="133"/>
      <c r="K408" s="133"/>
    </row>
    <row r="409" ht="14.25" customHeight="1">
      <c r="G409" s="133"/>
      <c r="H409" s="133"/>
      <c r="I409" s="133"/>
      <c r="K409" s="133"/>
    </row>
    <row r="410" ht="14.25" customHeight="1">
      <c r="G410" s="133"/>
      <c r="H410" s="133"/>
      <c r="I410" s="133"/>
      <c r="K410" s="133"/>
    </row>
    <row r="411" ht="14.25" customHeight="1">
      <c r="G411" s="133"/>
      <c r="H411" s="133"/>
      <c r="I411" s="133"/>
      <c r="K411" s="133"/>
    </row>
    <row r="412" ht="14.25" customHeight="1">
      <c r="G412" s="133"/>
      <c r="H412" s="133"/>
      <c r="I412" s="133"/>
      <c r="K412" s="133"/>
    </row>
    <row r="413" ht="14.25" customHeight="1">
      <c r="G413" s="133"/>
      <c r="H413" s="133"/>
      <c r="I413" s="133"/>
      <c r="K413" s="133"/>
    </row>
    <row r="414" ht="14.25" customHeight="1">
      <c r="G414" s="133"/>
      <c r="H414" s="133"/>
      <c r="I414" s="133"/>
      <c r="K414" s="133"/>
    </row>
    <row r="415" ht="14.25" customHeight="1">
      <c r="G415" s="133"/>
      <c r="H415" s="133"/>
      <c r="I415" s="133"/>
      <c r="K415" s="133"/>
    </row>
    <row r="416" ht="14.25" customHeight="1">
      <c r="G416" s="133"/>
      <c r="H416" s="133"/>
      <c r="I416" s="133"/>
      <c r="K416" s="133"/>
    </row>
    <row r="417" ht="14.25" customHeight="1">
      <c r="G417" s="133"/>
      <c r="H417" s="133"/>
      <c r="I417" s="133"/>
      <c r="K417" s="133"/>
    </row>
    <row r="418" ht="14.25" customHeight="1">
      <c r="G418" s="133"/>
      <c r="H418" s="133"/>
      <c r="I418" s="133"/>
      <c r="K418" s="133"/>
    </row>
    <row r="419" ht="14.25" customHeight="1">
      <c r="G419" s="133"/>
      <c r="H419" s="133"/>
      <c r="I419" s="133"/>
      <c r="K419" s="133"/>
    </row>
    <row r="420" ht="14.25" customHeight="1">
      <c r="G420" s="133"/>
      <c r="H420" s="133"/>
      <c r="I420" s="133"/>
      <c r="K420" s="133"/>
    </row>
    <row r="421" ht="14.25" customHeight="1">
      <c r="G421" s="133"/>
      <c r="H421" s="133"/>
      <c r="I421" s="133"/>
      <c r="K421" s="133"/>
    </row>
    <row r="422" ht="14.25" customHeight="1">
      <c r="G422" s="133"/>
      <c r="H422" s="133"/>
      <c r="I422" s="133"/>
      <c r="K422" s="133"/>
    </row>
    <row r="423" ht="14.25" customHeight="1">
      <c r="G423" s="133"/>
      <c r="H423" s="133"/>
      <c r="I423" s="133"/>
      <c r="K423" s="133"/>
    </row>
    <row r="424" ht="14.25" customHeight="1">
      <c r="G424" s="133"/>
      <c r="H424" s="133"/>
      <c r="I424" s="133"/>
      <c r="K424" s="133"/>
    </row>
    <row r="425" ht="14.25" customHeight="1">
      <c r="G425" s="133"/>
      <c r="H425" s="133"/>
      <c r="I425" s="133"/>
      <c r="K425" s="133"/>
    </row>
    <row r="426" ht="14.25" customHeight="1">
      <c r="G426" s="133"/>
      <c r="H426" s="133"/>
      <c r="I426" s="133"/>
      <c r="K426" s="133"/>
    </row>
    <row r="427" ht="14.25" customHeight="1">
      <c r="G427" s="133"/>
      <c r="H427" s="133"/>
      <c r="I427" s="133"/>
      <c r="K427" s="133"/>
    </row>
    <row r="428" ht="14.25" customHeight="1">
      <c r="G428" s="133"/>
      <c r="H428" s="133"/>
      <c r="I428" s="133"/>
      <c r="K428" s="133"/>
    </row>
    <row r="429" ht="14.25" customHeight="1">
      <c r="G429" s="133"/>
      <c r="H429" s="133"/>
      <c r="I429" s="133"/>
      <c r="K429" s="133"/>
    </row>
    <row r="430" ht="14.25" customHeight="1">
      <c r="G430" s="133"/>
      <c r="H430" s="133"/>
      <c r="I430" s="133"/>
      <c r="K430" s="133"/>
    </row>
    <row r="431" ht="14.25" customHeight="1">
      <c r="G431" s="133"/>
      <c r="H431" s="133"/>
      <c r="I431" s="133"/>
      <c r="K431" s="133"/>
    </row>
    <row r="432" ht="14.25" customHeight="1">
      <c r="G432" s="133"/>
      <c r="H432" s="133"/>
      <c r="I432" s="133"/>
      <c r="K432" s="133"/>
    </row>
    <row r="433" ht="14.25" customHeight="1">
      <c r="G433" s="133"/>
      <c r="H433" s="133"/>
      <c r="I433" s="133"/>
      <c r="K433" s="133"/>
    </row>
    <row r="434" ht="14.25" customHeight="1">
      <c r="G434" s="133"/>
      <c r="H434" s="133"/>
      <c r="I434" s="133"/>
      <c r="K434" s="133"/>
    </row>
    <row r="435" ht="14.25" customHeight="1">
      <c r="G435" s="133"/>
      <c r="H435" s="133"/>
      <c r="I435" s="133"/>
      <c r="K435" s="133"/>
    </row>
    <row r="436" ht="14.25" customHeight="1">
      <c r="G436" s="133"/>
      <c r="H436" s="133"/>
      <c r="I436" s="133"/>
      <c r="K436" s="133"/>
    </row>
    <row r="437" ht="14.25" customHeight="1">
      <c r="G437" s="133"/>
      <c r="H437" s="133"/>
      <c r="I437" s="133"/>
      <c r="K437" s="133"/>
    </row>
    <row r="438" ht="14.25" customHeight="1">
      <c r="G438" s="133"/>
      <c r="H438" s="133"/>
      <c r="I438" s="133"/>
      <c r="K438" s="133"/>
    </row>
    <row r="439" ht="14.25" customHeight="1">
      <c r="G439" s="133"/>
      <c r="H439" s="133"/>
      <c r="I439" s="133"/>
      <c r="K439" s="133"/>
    </row>
    <row r="440" ht="14.25" customHeight="1">
      <c r="G440" s="133"/>
      <c r="H440" s="133"/>
      <c r="I440" s="133"/>
      <c r="K440" s="133"/>
    </row>
    <row r="441" ht="14.25" customHeight="1">
      <c r="G441" s="133"/>
      <c r="H441" s="133"/>
      <c r="I441" s="133"/>
      <c r="K441" s="133"/>
    </row>
    <row r="442" ht="14.25" customHeight="1">
      <c r="G442" s="133"/>
      <c r="H442" s="133"/>
      <c r="I442" s="133"/>
      <c r="K442" s="133"/>
    </row>
    <row r="443" ht="14.25" customHeight="1">
      <c r="G443" s="133"/>
      <c r="H443" s="133"/>
      <c r="I443" s="133"/>
      <c r="K443" s="133"/>
    </row>
    <row r="444" ht="14.25" customHeight="1">
      <c r="G444" s="133"/>
      <c r="H444" s="133"/>
      <c r="I444" s="133"/>
      <c r="K444" s="133"/>
    </row>
    <row r="445" ht="14.25" customHeight="1">
      <c r="G445" s="133"/>
      <c r="H445" s="133"/>
      <c r="I445" s="133"/>
      <c r="K445" s="133"/>
    </row>
    <row r="446" ht="14.25" customHeight="1">
      <c r="G446" s="133"/>
      <c r="H446" s="133"/>
      <c r="I446" s="133"/>
      <c r="K446" s="133"/>
    </row>
    <row r="447" ht="14.25" customHeight="1">
      <c r="G447" s="133"/>
      <c r="H447" s="133"/>
      <c r="I447" s="133"/>
      <c r="K447" s="133"/>
    </row>
    <row r="448" ht="14.25" customHeight="1">
      <c r="G448" s="133"/>
      <c r="H448" s="133"/>
      <c r="I448" s="133"/>
      <c r="K448" s="133"/>
    </row>
    <row r="449" ht="14.25" customHeight="1">
      <c r="G449" s="133"/>
      <c r="H449" s="133"/>
      <c r="I449" s="133"/>
      <c r="K449" s="133"/>
    </row>
    <row r="450" ht="14.25" customHeight="1">
      <c r="G450" s="133"/>
      <c r="H450" s="133"/>
      <c r="I450" s="133"/>
      <c r="K450" s="133"/>
    </row>
    <row r="451" ht="14.25" customHeight="1">
      <c r="G451" s="133"/>
      <c r="H451" s="133"/>
      <c r="I451" s="133"/>
      <c r="K451" s="133"/>
    </row>
    <row r="452" ht="14.25" customHeight="1">
      <c r="G452" s="133"/>
      <c r="H452" s="133"/>
      <c r="I452" s="133"/>
      <c r="K452" s="133"/>
    </row>
    <row r="453" ht="14.25" customHeight="1">
      <c r="G453" s="133"/>
      <c r="H453" s="133"/>
      <c r="I453" s="133"/>
      <c r="K453" s="133"/>
    </row>
    <row r="454" ht="14.25" customHeight="1">
      <c r="G454" s="133"/>
      <c r="H454" s="133"/>
      <c r="I454" s="133"/>
      <c r="K454" s="133"/>
    </row>
    <row r="455" ht="14.25" customHeight="1">
      <c r="G455" s="133"/>
      <c r="H455" s="133"/>
      <c r="I455" s="133"/>
      <c r="K455" s="133"/>
    </row>
    <row r="456" ht="14.25" customHeight="1">
      <c r="G456" s="133"/>
      <c r="H456" s="133"/>
      <c r="I456" s="133"/>
      <c r="K456" s="133"/>
    </row>
    <row r="457" ht="14.25" customHeight="1">
      <c r="G457" s="133"/>
      <c r="H457" s="133"/>
      <c r="I457" s="133"/>
      <c r="K457" s="133"/>
    </row>
    <row r="458" ht="14.25" customHeight="1">
      <c r="G458" s="133"/>
      <c r="H458" s="133"/>
      <c r="I458" s="133"/>
      <c r="K458" s="133"/>
    </row>
    <row r="459" ht="14.25" customHeight="1">
      <c r="G459" s="133"/>
      <c r="H459" s="133"/>
      <c r="I459" s="133"/>
      <c r="K459" s="133"/>
    </row>
    <row r="460" ht="14.25" customHeight="1">
      <c r="G460" s="133"/>
      <c r="H460" s="133"/>
      <c r="I460" s="133"/>
      <c r="K460" s="133"/>
    </row>
    <row r="461" ht="14.25" customHeight="1">
      <c r="G461" s="133"/>
      <c r="H461" s="133"/>
      <c r="I461" s="133"/>
      <c r="K461" s="133"/>
    </row>
    <row r="462" ht="14.25" customHeight="1">
      <c r="G462" s="133"/>
      <c r="H462" s="133"/>
      <c r="I462" s="133"/>
      <c r="K462" s="133"/>
    </row>
    <row r="463" ht="14.25" customHeight="1">
      <c r="G463" s="133"/>
      <c r="H463" s="133"/>
      <c r="I463" s="133"/>
      <c r="K463" s="133"/>
    </row>
    <row r="464" ht="14.25" customHeight="1">
      <c r="G464" s="133"/>
      <c r="H464" s="133"/>
      <c r="I464" s="133"/>
      <c r="K464" s="133"/>
    </row>
    <row r="465" ht="14.25" customHeight="1">
      <c r="G465" s="133"/>
      <c r="H465" s="133"/>
      <c r="I465" s="133"/>
      <c r="K465" s="133"/>
    </row>
    <row r="466" ht="14.25" customHeight="1">
      <c r="G466" s="133"/>
      <c r="H466" s="133"/>
      <c r="I466" s="133"/>
      <c r="K466" s="133"/>
    </row>
    <row r="467" ht="14.25" customHeight="1">
      <c r="G467" s="133"/>
      <c r="H467" s="133"/>
      <c r="I467" s="133"/>
      <c r="K467" s="133"/>
    </row>
    <row r="468" ht="14.25" customHeight="1">
      <c r="G468" s="133"/>
      <c r="H468" s="133"/>
      <c r="I468" s="133"/>
      <c r="K468" s="133"/>
    </row>
    <row r="469" ht="14.25" customHeight="1">
      <c r="G469" s="133"/>
      <c r="H469" s="133"/>
      <c r="I469" s="133"/>
      <c r="K469" s="133"/>
    </row>
    <row r="470" ht="14.25" customHeight="1">
      <c r="G470" s="133"/>
      <c r="H470" s="133"/>
      <c r="I470" s="133"/>
      <c r="K470" s="133"/>
    </row>
    <row r="471" ht="14.25" customHeight="1">
      <c r="G471" s="133"/>
      <c r="H471" s="133"/>
      <c r="I471" s="133"/>
      <c r="K471" s="133"/>
    </row>
    <row r="472" ht="14.25" customHeight="1">
      <c r="G472" s="133"/>
      <c r="H472" s="133"/>
      <c r="I472" s="133"/>
      <c r="K472" s="133"/>
    </row>
    <row r="473" ht="14.25" customHeight="1">
      <c r="G473" s="133"/>
      <c r="H473" s="133"/>
      <c r="I473" s="133"/>
      <c r="K473" s="133"/>
    </row>
    <row r="474" ht="14.25" customHeight="1">
      <c r="G474" s="133"/>
      <c r="H474" s="133"/>
      <c r="I474" s="133"/>
      <c r="K474" s="133"/>
    </row>
    <row r="475" ht="14.25" customHeight="1">
      <c r="G475" s="133"/>
      <c r="H475" s="133"/>
      <c r="I475" s="133"/>
      <c r="K475" s="133"/>
    </row>
    <row r="476" ht="14.25" customHeight="1">
      <c r="G476" s="133"/>
      <c r="H476" s="133"/>
      <c r="I476" s="133"/>
      <c r="K476" s="133"/>
    </row>
    <row r="477" ht="14.25" customHeight="1">
      <c r="G477" s="133"/>
      <c r="H477" s="133"/>
      <c r="I477" s="133"/>
      <c r="K477" s="133"/>
    </row>
    <row r="478" ht="14.25" customHeight="1">
      <c r="G478" s="133"/>
      <c r="H478" s="133"/>
      <c r="I478" s="133"/>
      <c r="K478" s="133"/>
    </row>
    <row r="479" ht="14.25" customHeight="1">
      <c r="G479" s="133"/>
      <c r="H479" s="133"/>
      <c r="I479" s="133"/>
      <c r="K479" s="133"/>
    </row>
    <row r="480" ht="14.25" customHeight="1">
      <c r="G480" s="133"/>
      <c r="H480" s="133"/>
      <c r="I480" s="133"/>
      <c r="K480" s="133"/>
    </row>
    <row r="481" ht="14.25" customHeight="1">
      <c r="G481" s="133"/>
      <c r="H481" s="133"/>
      <c r="I481" s="133"/>
      <c r="K481" s="133"/>
    </row>
    <row r="482" ht="14.25" customHeight="1">
      <c r="G482" s="133"/>
      <c r="H482" s="133"/>
      <c r="I482" s="133"/>
      <c r="K482" s="133"/>
    </row>
    <row r="483" ht="14.25" customHeight="1">
      <c r="G483" s="133"/>
      <c r="H483" s="133"/>
      <c r="I483" s="133"/>
      <c r="K483" s="133"/>
    </row>
    <row r="484" ht="14.25" customHeight="1">
      <c r="G484" s="133"/>
      <c r="H484" s="133"/>
      <c r="I484" s="133"/>
      <c r="K484" s="133"/>
    </row>
    <row r="485" ht="14.25" customHeight="1">
      <c r="G485" s="133"/>
      <c r="H485" s="133"/>
      <c r="I485" s="133"/>
      <c r="K485" s="133"/>
    </row>
    <row r="486" ht="14.25" customHeight="1">
      <c r="G486" s="133"/>
      <c r="H486" s="133"/>
      <c r="I486" s="133"/>
      <c r="K486" s="133"/>
    </row>
    <row r="487" ht="14.25" customHeight="1">
      <c r="G487" s="133"/>
      <c r="H487" s="133"/>
      <c r="I487" s="133"/>
      <c r="K487" s="133"/>
    </row>
    <row r="488" ht="14.25" customHeight="1">
      <c r="G488" s="133"/>
      <c r="H488" s="133"/>
      <c r="I488" s="133"/>
      <c r="K488" s="133"/>
    </row>
    <row r="489" ht="14.25" customHeight="1">
      <c r="G489" s="133"/>
      <c r="H489" s="133"/>
      <c r="I489" s="133"/>
      <c r="K489" s="133"/>
    </row>
    <row r="490" ht="14.25" customHeight="1">
      <c r="G490" s="133"/>
      <c r="H490" s="133"/>
      <c r="I490" s="133"/>
      <c r="K490" s="133"/>
    </row>
    <row r="491" ht="14.25" customHeight="1">
      <c r="G491" s="133"/>
      <c r="H491" s="133"/>
      <c r="I491" s="133"/>
      <c r="K491" s="133"/>
    </row>
    <row r="492" ht="14.25" customHeight="1">
      <c r="G492" s="133"/>
      <c r="H492" s="133"/>
      <c r="I492" s="133"/>
      <c r="K492" s="133"/>
    </row>
    <row r="493" ht="14.25" customHeight="1">
      <c r="G493" s="133"/>
      <c r="H493" s="133"/>
      <c r="I493" s="133"/>
      <c r="K493" s="133"/>
    </row>
    <row r="494" ht="14.25" customHeight="1">
      <c r="G494" s="133"/>
      <c r="H494" s="133"/>
      <c r="I494" s="133"/>
      <c r="K494" s="133"/>
    </row>
    <row r="495" ht="14.25" customHeight="1">
      <c r="G495" s="133"/>
      <c r="H495" s="133"/>
      <c r="I495" s="133"/>
      <c r="K495" s="133"/>
    </row>
    <row r="496" ht="14.25" customHeight="1">
      <c r="G496" s="133"/>
      <c r="H496" s="133"/>
      <c r="I496" s="133"/>
      <c r="K496" s="133"/>
    </row>
    <row r="497" ht="14.25" customHeight="1">
      <c r="G497" s="133"/>
      <c r="H497" s="133"/>
      <c r="I497" s="133"/>
      <c r="K497" s="133"/>
    </row>
    <row r="498" ht="14.25" customHeight="1">
      <c r="G498" s="133"/>
      <c r="H498" s="133"/>
      <c r="I498" s="133"/>
      <c r="K498" s="133"/>
    </row>
    <row r="499" ht="14.25" customHeight="1">
      <c r="G499" s="133"/>
      <c r="H499" s="133"/>
      <c r="I499" s="133"/>
      <c r="K499" s="133"/>
    </row>
    <row r="500" ht="14.25" customHeight="1">
      <c r="G500" s="133"/>
      <c r="H500" s="133"/>
      <c r="I500" s="133"/>
      <c r="K500" s="133"/>
    </row>
    <row r="501" ht="14.25" customHeight="1">
      <c r="G501" s="133"/>
      <c r="H501" s="133"/>
      <c r="I501" s="133"/>
      <c r="K501" s="133"/>
    </row>
    <row r="502" ht="14.25" customHeight="1">
      <c r="G502" s="133"/>
      <c r="H502" s="133"/>
      <c r="I502" s="133"/>
      <c r="K502" s="133"/>
    </row>
    <row r="503" ht="14.25" customHeight="1">
      <c r="G503" s="133"/>
      <c r="H503" s="133"/>
      <c r="I503" s="133"/>
      <c r="K503" s="133"/>
    </row>
    <row r="504" ht="14.25" customHeight="1">
      <c r="G504" s="133"/>
      <c r="H504" s="133"/>
      <c r="I504" s="133"/>
      <c r="K504" s="133"/>
    </row>
    <row r="505" ht="14.25" customHeight="1">
      <c r="G505" s="133"/>
      <c r="H505" s="133"/>
      <c r="I505" s="133"/>
      <c r="K505" s="133"/>
    </row>
    <row r="506" ht="14.25" customHeight="1">
      <c r="G506" s="133"/>
      <c r="H506" s="133"/>
      <c r="I506" s="133"/>
      <c r="K506" s="133"/>
    </row>
    <row r="507" ht="14.25" customHeight="1">
      <c r="G507" s="133"/>
      <c r="H507" s="133"/>
      <c r="I507" s="133"/>
      <c r="K507" s="133"/>
    </row>
    <row r="508" ht="14.25" customHeight="1">
      <c r="G508" s="133"/>
      <c r="H508" s="133"/>
      <c r="I508" s="133"/>
      <c r="K508" s="133"/>
    </row>
    <row r="509" ht="14.25" customHeight="1">
      <c r="G509" s="133"/>
      <c r="H509" s="133"/>
      <c r="I509" s="133"/>
      <c r="K509" s="133"/>
    </row>
    <row r="510" ht="14.25" customHeight="1">
      <c r="G510" s="133"/>
      <c r="H510" s="133"/>
      <c r="I510" s="133"/>
      <c r="K510" s="133"/>
    </row>
    <row r="511" ht="14.25" customHeight="1">
      <c r="G511" s="133"/>
      <c r="H511" s="133"/>
      <c r="I511" s="133"/>
      <c r="K511" s="133"/>
    </row>
    <row r="512" ht="14.25" customHeight="1">
      <c r="G512" s="133"/>
      <c r="H512" s="133"/>
      <c r="I512" s="133"/>
      <c r="K512" s="133"/>
    </row>
    <row r="513" ht="14.25" customHeight="1">
      <c r="G513" s="133"/>
      <c r="H513" s="133"/>
      <c r="I513" s="133"/>
      <c r="K513" s="133"/>
    </row>
    <row r="514" ht="14.25" customHeight="1">
      <c r="G514" s="133"/>
      <c r="H514" s="133"/>
      <c r="I514" s="133"/>
      <c r="K514" s="133"/>
    </row>
    <row r="515" ht="14.25" customHeight="1">
      <c r="G515" s="133"/>
      <c r="H515" s="133"/>
      <c r="I515" s="133"/>
      <c r="K515" s="133"/>
    </row>
    <row r="516" ht="14.25" customHeight="1">
      <c r="G516" s="133"/>
      <c r="H516" s="133"/>
      <c r="I516" s="133"/>
      <c r="K516" s="133"/>
    </row>
    <row r="517" ht="14.25" customHeight="1">
      <c r="G517" s="133"/>
      <c r="H517" s="133"/>
      <c r="I517" s="133"/>
      <c r="K517" s="133"/>
    </row>
    <row r="518" ht="14.25" customHeight="1">
      <c r="G518" s="133"/>
      <c r="H518" s="133"/>
      <c r="I518" s="133"/>
      <c r="K518" s="133"/>
    </row>
    <row r="519" ht="14.25" customHeight="1">
      <c r="G519" s="133"/>
      <c r="H519" s="133"/>
      <c r="I519" s="133"/>
      <c r="K519" s="133"/>
    </row>
    <row r="520" ht="14.25" customHeight="1">
      <c r="G520" s="133"/>
      <c r="H520" s="133"/>
      <c r="I520" s="133"/>
      <c r="K520" s="133"/>
    </row>
    <row r="521" ht="14.25" customHeight="1">
      <c r="G521" s="133"/>
      <c r="H521" s="133"/>
      <c r="I521" s="133"/>
      <c r="K521" s="133"/>
    </row>
    <row r="522" ht="14.25" customHeight="1">
      <c r="G522" s="133"/>
      <c r="H522" s="133"/>
      <c r="I522" s="133"/>
      <c r="K522" s="133"/>
    </row>
    <row r="523" ht="14.25" customHeight="1">
      <c r="G523" s="133"/>
      <c r="H523" s="133"/>
      <c r="I523" s="133"/>
      <c r="K523" s="133"/>
    </row>
    <row r="524" ht="14.25" customHeight="1">
      <c r="G524" s="133"/>
      <c r="H524" s="133"/>
      <c r="I524" s="133"/>
      <c r="K524" s="133"/>
    </row>
    <row r="525" ht="14.25" customHeight="1">
      <c r="G525" s="133"/>
      <c r="H525" s="133"/>
      <c r="I525" s="133"/>
      <c r="K525" s="133"/>
    </row>
    <row r="526" ht="14.25" customHeight="1">
      <c r="G526" s="133"/>
      <c r="H526" s="133"/>
      <c r="I526" s="133"/>
      <c r="K526" s="133"/>
    </row>
    <row r="527" ht="14.25" customHeight="1">
      <c r="G527" s="133"/>
      <c r="H527" s="133"/>
      <c r="I527" s="133"/>
      <c r="K527" s="133"/>
    </row>
    <row r="528" ht="14.25" customHeight="1">
      <c r="G528" s="133"/>
      <c r="H528" s="133"/>
      <c r="I528" s="133"/>
      <c r="K528" s="133"/>
    </row>
    <row r="529" ht="14.25" customHeight="1">
      <c r="G529" s="133"/>
      <c r="H529" s="133"/>
      <c r="I529" s="133"/>
      <c r="K529" s="133"/>
    </row>
    <row r="530" ht="14.25" customHeight="1">
      <c r="G530" s="133"/>
      <c r="H530" s="133"/>
      <c r="I530" s="133"/>
      <c r="K530" s="133"/>
    </row>
    <row r="531" ht="14.25" customHeight="1">
      <c r="G531" s="133"/>
      <c r="H531" s="133"/>
      <c r="I531" s="133"/>
      <c r="K531" s="133"/>
    </row>
    <row r="532" ht="14.25" customHeight="1">
      <c r="G532" s="133"/>
      <c r="H532" s="133"/>
      <c r="I532" s="133"/>
      <c r="K532" s="133"/>
    </row>
    <row r="533" ht="14.25" customHeight="1">
      <c r="G533" s="133"/>
      <c r="H533" s="133"/>
      <c r="I533" s="133"/>
      <c r="K533" s="133"/>
    </row>
    <row r="534" ht="14.25" customHeight="1">
      <c r="G534" s="133"/>
      <c r="H534" s="133"/>
      <c r="I534" s="133"/>
      <c r="K534" s="133"/>
    </row>
    <row r="535" ht="14.25" customHeight="1">
      <c r="G535" s="133"/>
      <c r="H535" s="133"/>
      <c r="I535" s="133"/>
      <c r="K535" s="133"/>
    </row>
    <row r="536" ht="14.25" customHeight="1">
      <c r="G536" s="133"/>
      <c r="H536" s="133"/>
      <c r="I536" s="133"/>
      <c r="K536" s="133"/>
    </row>
    <row r="537" ht="14.25" customHeight="1">
      <c r="G537" s="133"/>
      <c r="H537" s="133"/>
      <c r="I537" s="133"/>
      <c r="K537" s="133"/>
    </row>
    <row r="538" ht="14.25" customHeight="1">
      <c r="G538" s="133"/>
      <c r="H538" s="133"/>
      <c r="I538" s="133"/>
      <c r="K538" s="133"/>
    </row>
    <row r="539" ht="14.25" customHeight="1">
      <c r="G539" s="133"/>
      <c r="H539" s="133"/>
      <c r="I539" s="133"/>
      <c r="K539" s="133"/>
    </row>
    <row r="540" ht="14.25" customHeight="1">
      <c r="G540" s="133"/>
      <c r="H540" s="133"/>
      <c r="I540" s="133"/>
      <c r="K540" s="133"/>
    </row>
    <row r="541" ht="14.25" customHeight="1">
      <c r="G541" s="133"/>
      <c r="H541" s="133"/>
      <c r="I541" s="133"/>
      <c r="K541" s="133"/>
    </row>
    <row r="542" ht="14.25" customHeight="1">
      <c r="G542" s="133"/>
      <c r="H542" s="133"/>
      <c r="I542" s="133"/>
      <c r="K542" s="133"/>
    </row>
    <row r="543" ht="14.25" customHeight="1">
      <c r="G543" s="133"/>
      <c r="H543" s="133"/>
      <c r="I543" s="133"/>
      <c r="K543" s="133"/>
    </row>
    <row r="544" ht="14.25" customHeight="1">
      <c r="G544" s="133"/>
      <c r="H544" s="133"/>
      <c r="I544" s="133"/>
      <c r="K544" s="133"/>
    </row>
    <row r="545" ht="14.25" customHeight="1">
      <c r="G545" s="133"/>
      <c r="H545" s="133"/>
      <c r="I545" s="133"/>
      <c r="K545" s="133"/>
    </row>
    <row r="546" ht="14.25" customHeight="1">
      <c r="G546" s="133"/>
      <c r="H546" s="133"/>
      <c r="I546" s="133"/>
      <c r="K546" s="133"/>
    </row>
    <row r="547" ht="14.25" customHeight="1">
      <c r="G547" s="133"/>
      <c r="H547" s="133"/>
      <c r="I547" s="133"/>
      <c r="K547" s="133"/>
    </row>
    <row r="548" ht="14.25" customHeight="1">
      <c r="G548" s="133"/>
      <c r="H548" s="133"/>
      <c r="I548" s="133"/>
      <c r="K548" s="133"/>
    </row>
    <row r="549" ht="14.25" customHeight="1">
      <c r="G549" s="133"/>
      <c r="H549" s="133"/>
      <c r="I549" s="133"/>
      <c r="K549" s="133"/>
    </row>
    <row r="550" ht="14.25" customHeight="1">
      <c r="G550" s="133"/>
      <c r="H550" s="133"/>
      <c r="I550" s="133"/>
      <c r="K550" s="133"/>
    </row>
    <row r="551" ht="14.25" customHeight="1">
      <c r="G551" s="133"/>
      <c r="H551" s="133"/>
      <c r="I551" s="133"/>
      <c r="K551" s="133"/>
    </row>
    <row r="552" ht="14.25" customHeight="1">
      <c r="G552" s="133"/>
      <c r="H552" s="133"/>
      <c r="I552" s="133"/>
      <c r="K552" s="133"/>
    </row>
    <row r="553" ht="14.25" customHeight="1">
      <c r="G553" s="133"/>
      <c r="H553" s="133"/>
      <c r="I553" s="133"/>
      <c r="K553" s="133"/>
    </row>
    <row r="554" ht="14.25" customHeight="1">
      <c r="G554" s="133"/>
      <c r="H554" s="133"/>
      <c r="I554" s="133"/>
      <c r="K554" s="133"/>
    </row>
    <row r="555" ht="14.25" customHeight="1">
      <c r="G555" s="133"/>
      <c r="H555" s="133"/>
      <c r="I555" s="133"/>
      <c r="K555" s="133"/>
    </row>
    <row r="556" ht="14.25" customHeight="1">
      <c r="G556" s="133"/>
      <c r="H556" s="133"/>
      <c r="I556" s="133"/>
      <c r="K556" s="133"/>
    </row>
    <row r="557" ht="14.25" customHeight="1">
      <c r="G557" s="133"/>
      <c r="H557" s="133"/>
      <c r="I557" s="133"/>
      <c r="K557" s="133"/>
    </row>
    <row r="558" ht="14.25" customHeight="1">
      <c r="G558" s="133"/>
      <c r="H558" s="133"/>
      <c r="I558" s="133"/>
      <c r="K558" s="133"/>
    </row>
    <row r="559" ht="14.25" customHeight="1">
      <c r="G559" s="133"/>
      <c r="H559" s="133"/>
      <c r="I559" s="133"/>
      <c r="K559" s="133"/>
    </row>
    <row r="560" ht="14.25" customHeight="1">
      <c r="G560" s="133"/>
      <c r="H560" s="133"/>
      <c r="I560" s="133"/>
      <c r="K560" s="133"/>
    </row>
    <row r="561" ht="14.25" customHeight="1">
      <c r="G561" s="133"/>
      <c r="H561" s="133"/>
      <c r="I561" s="133"/>
      <c r="K561" s="133"/>
    </row>
    <row r="562" ht="14.25" customHeight="1">
      <c r="G562" s="133"/>
      <c r="H562" s="133"/>
      <c r="I562" s="133"/>
      <c r="K562" s="133"/>
    </row>
    <row r="563" ht="14.25" customHeight="1">
      <c r="G563" s="133"/>
      <c r="H563" s="133"/>
      <c r="I563" s="133"/>
      <c r="K563" s="133"/>
    </row>
    <row r="564" ht="14.25" customHeight="1">
      <c r="G564" s="133"/>
      <c r="H564" s="133"/>
      <c r="I564" s="133"/>
      <c r="K564" s="133"/>
    </row>
    <row r="565" ht="14.25" customHeight="1">
      <c r="G565" s="133"/>
      <c r="H565" s="133"/>
      <c r="I565" s="133"/>
      <c r="K565" s="133"/>
    </row>
    <row r="566" ht="14.25" customHeight="1">
      <c r="G566" s="133"/>
      <c r="H566" s="133"/>
      <c r="I566" s="133"/>
      <c r="K566" s="133"/>
    </row>
    <row r="567" ht="14.25" customHeight="1">
      <c r="G567" s="133"/>
      <c r="H567" s="133"/>
      <c r="I567" s="133"/>
      <c r="K567" s="133"/>
    </row>
    <row r="568" ht="14.25" customHeight="1">
      <c r="G568" s="133"/>
      <c r="H568" s="133"/>
      <c r="I568" s="133"/>
      <c r="K568" s="133"/>
    </row>
    <row r="569" ht="14.25" customHeight="1">
      <c r="G569" s="133"/>
      <c r="H569" s="133"/>
      <c r="I569" s="133"/>
      <c r="K569" s="133"/>
    </row>
    <row r="570" ht="14.25" customHeight="1">
      <c r="G570" s="133"/>
      <c r="H570" s="133"/>
      <c r="I570" s="133"/>
      <c r="K570" s="133"/>
    </row>
    <row r="571" ht="14.25" customHeight="1">
      <c r="G571" s="133"/>
      <c r="H571" s="133"/>
      <c r="I571" s="133"/>
      <c r="K571" s="133"/>
    </row>
    <row r="572" ht="14.25" customHeight="1">
      <c r="G572" s="133"/>
      <c r="H572" s="133"/>
      <c r="I572" s="133"/>
      <c r="K572" s="133"/>
    </row>
    <row r="573" ht="14.25" customHeight="1">
      <c r="G573" s="133"/>
      <c r="H573" s="133"/>
      <c r="I573" s="133"/>
      <c r="K573" s="133"/>
    </row>
    <row r="574" ht="14.25" customHeight="1">
      <c r="G574" s="133"/>
      <c r="H574" s="133"/>
      <c r="I574" s="133"/>
      <c r="K574" s="133"/>
    </row>
    <row r="575" ht="14.25" customHeight="1">
      <c r="G575" s="133"/>
      <c r="H575" s="133"/>
      <c r="I575" s="133"/>
      <c r="K575" s="133"/>
    </row>
    <row r="576" ht="14.25" customHeight="1">
      <c r="G576" s="133"/>
      <c r="H576" s="133"/>
      <c r="I576" s="133"/>
      <c r="K576" s="133"/>
    </row>
    <row r="577" ht="14.25" customHeight="1">
      <c r="G577" s="133"/>
      <c r="H577" s="133"/>
      <c r="I577" s="133"/>
      <c r="K577" s="133"/>
    </row>
    <row r="578" ht="14.25" customHeight="1">
      <c r="G578" s="133"/>
      <c r="H578" s="133"/>
      <c r="I578" s="133"/>
      <c r="K578" s="133"/>
    </row>
    <row r="579" ht="14.25" customHeight="1">
      <c r="G579" s="133"/>
      <c r="H579" s="133"/>
      <c r="I579" s="133"/>
      <c r="K579" s="133"/>
    </row>
    <row r="580" ht="14.25" customHeight="1">
      <c r="G580" s="133"/>
      <c r="H580" s="133"/>
      <c r="I580" s="133"/>
      <c r="K580" s="133"/>
    </row>
    <row r="581" ht="14.25" customHeight="1">
      <c r="G581" s="133"/>
      <c r="H581" s="133"/>
      <c r="I581" s="133"/>
      <c r="K581" s="133"/>
    </row>
    <row r="582" ht="14.25" customHeight="1">
      <c r="G582" s="133"/>
      <c r="H582" s="133"/>
      <c r="I582" s="133"/>
      <c r="K582" s="133"/>
    </row>
    <row r="583" ht="14.25" customHeight="1">
      <c r="G583" s="133"/>
      <c r="H583" s="133"/>
      <c r="I583" s="133"/>
      <c r="K583" s="133"/>
    </row>
    <row r="584" ht="14.25" customHeight="1">
      <c r="G584" s="133"/>
      <c r="H584" s="133"/>
      <c r="I584" s="133"/>
      <c r="K584" s="133"/>
    </row>
    <row r="585" ht="14.25" customHeight="1">
      <c r="G585" s="133"/>
      <c r="H585" s="133"/>
      <c r="I585" s="133"/>
      <c r="K585" s="133"/>
    </row>
    <row r="586" ht="14.25" customHeight="1">
      <c r="G586" s="133"/>
      <c r="H586" s="133"/>
      <c r="I586" s="133"/>
      <c r="K586" s="133"/>
    </row>
    <row r="587" ht="14.25" customHeight="1">
      <c r="G587" s="133"/>
      <c r="H587" s="133"/>
      <c r="I587" s="133"/>
      <c r="K587" s="133"/>
    </row>
    <row r="588" ht="14.25" customHeight="1">
      <c r="G588" s="133"/>
      <c r="H588" s="133"/>
      <c r="I588" s="133"/>
      <c r="K588" s="133"/>
    </row>
    <row r="589" ht="14.25" customHeight="1">
      <c r="G589" s="133"/>
      <c r="H589" s="133"/>
      <c r="I589" s="133"/>
      <c r="K589" s="133"/>
    </row>
    <row r="590" ht="14.25" customHeight="1">
      <c r="G590" s="133"/>
      <c r="H590" s="133"/>
      <c r="I590" s="133"/>
      <c r="K590" s="133"/>
    </row>
    <row r="591" ht="14.25" customHeight="1">
      <c r="G591" s="133"/>
      <c r="H591" s="133"/>
      <c r="I591" s="133"/>
      <c r="K591" s="133"/>
    </row>
    <row r="592" ht="14.25" customHeight="1">
      <c r="G592" s="133"/>
      <c r="H592" s="133"/>
      <c r="I592" s="133"/>
      <c r="K592" s="133"/>
    </row>
    <row r="593" ht="14.25" customHeight="1">
      <c r="G593" s="133"/>
      <c r="H593" s="133"/>
      <c r="I593" s="133"/>
      <c r="K593" s="133"/>
    </row>
    <row r="594" ht="14.25" customHeight="1">
      <c r="G594" s="133"/>
      <c r="H594" s="133"/>
      <c r="I594" s="133"/>
      <c r="K594" s="133"/>
    </row>
    <row r="595" ht="14.25" customHeight="1">
      <c r="G595" s="133"/>
      <c r="H595" s="133"/>
      <c r="I595" s="133"/>
      <c r="K595" s="133"/>
    </row>
    <row r="596" ht="14.25" customHeight="1">
      <c r="G596" s="133"/>
      <c r="H596" s="133"/>
      <c r="I596" s="133"/>
      <c r="K596" s="133"/>
    </row>
    <row r="597" ht="14.25" customHeight="1">
      <c r="G597" s="133"/>
      <c r="H597" s="133"/>
      <c r="I597" s="133"/>
      <c r="K597" s="133"/>
    </row>
    <row r="598" ht="14.25" customHeight="1">
      <c r="G598" s="133"/>
      <c r="H598" s="133"/>
      <c r="I598" s="133"/>
      <c r="K598" s="133"/>
    </row>
    <row r="599" ht="14.25" customHeight="1">
      <c r="G599" s="133"/>
      <c r="H599" s="133"/>
      <c r="I599" s="133"/>
      <c r="K599" s="133"/>
    </row>
    <row r="600" ht="14.25" customHeight="1">
      <c r="G600" s="133"/>
      <c r="H600" s="133"/>
      <c r="I600" s="133"/>
      <c r="K600" s="133"/>
    </row>
    <row r="601" ht="14.25" customHeight="1">
      <c r="G601" s="133"/>
      <c r="H601" s="133"/>
      <c r="I601" s="133"/>
      <c r="K601" s="133"/>
    </row>
    <row r="602" ht="14.25" customHeight="1">
      <c r="G602" s="133"/>
      <c r="H602" s="133"/>
      <c r="I602" s="133"/>
      <c r="K602" s="133"/>
    </row>
    <row r="603" ht="14.25" customHeight="1">
      <c r="G603" s="133"/>
      <c r="H603" s="133"/>
      <c r="I603" s="133"/>
      <c r="K603" s="133"/>
    </row>
    <row r="604" ht="14.25" customHeight="1">
      <c r="G604" s="133"/>
      <c r="H604" s="133"/>
      <c r="I604" s="133"/>
      <c r="K604" s="133"/>
    </row>
    <row r="605" ht="14.25" customHeight="1">
      <c r="G605" s="133"/>
      <c r="H605" s="133"/>
      <c r="I605" s="133"/>
      <c r="K605" s="133"/>
    </row>
    <row r="606" ht="14.25" customHeight="1">
      <c r="G606" s="133"/>
      <c r="H606" s="133"/>
      <c r="I606" s="133"/>
      <c r="K606" s="133"/>
    </row>
    <row r="607" ht="14.25" customHeight="1">
      <c r="G607" s="133"/>
      <c r="H607" s="133"/>
      <c r="I607" s="133"/>
      <c r="K607" s="133"/>
    </row>
    <row r="608" ht="14.25" customHeight="1">
      <c r="G608" s="133"/>
      <c r="H608" s="133"/>
      <c r="I608" s="133"/>
      <c r="K608" s="133"/>
    </row>
    <row r="609" ht="14.25" customHeight="1">
      <c r="G609" s="133"/>
      <c r="H609" s="133"/>
      <c r="I609" s="133"/>
      <c r="K609" s="133"/>
    </row>
    <row r="610" ht="14.25" customHeight="1">
      <c r="G610" s="133"/>
      <c r="H610" s="133"/>
      <c r="I610" s="133"/>
      <c r="K610" s="133"/>
    </row>
    <row r="611" ht="14.25" customHeight="1">
      <c r="G611" s="133"/>
      <c r="H611" s="133"/>
      <c r="I611" s="133"/>
      <c r="K611" s="133"/>
    </row>
    <row r="612" ht="14.25" customHeight="1">
      <c r="G612" s="133"/>
      <c r="H612" s="133"/>
      <c r="I612" s="133"/>
      <c r="K612" s="133"/>
    </row>
    <row r="613" ht="14.25" customHeight="1">
      <c r="G613" s="133"/>
      <c r="H613" s="133"/>
      <c r="I613" s="133"/>
      <c r="K613" s="133"/>
    </row>
    <row r="614" ht="14.25" customHeight="1">
      <c r="G614" s="133"/>
      <c r="H614" s="133"/>
      <c r="I614" s="133"/>
      <c r="K614" s="133"/>
    </row>
    <row r="615" ht="14.25" customHeight="1">
      <c r="G615" s="133"/>
      <c r="H615" s="133"/>
      <c r="I615" s="133"/>
      <c r="K615" s="133"/>
    </row>
    <row r="616" ht="14.25" customHeight="1">
      <c r="G616" s="133"/>
      <c r="H616" s="133"/>
      <c r="I616" s="133"/>
      <c r="K616" s="133"/>
    </row>
    <row r="617" ht="14.25" customHeight="1">
      <c r="G617" s="133"/>
      <c r="H617" s="133"/>
      <c r="I617" s="133"/>
      <c r="K617" s="133"/>
    </row>
    <row r="618" ht="14.25" customHeight="1">
      <c r="G618" s="133"/>
      <c r="H618" s="133"/>
      <c r="I618" s="133"/>
      <c r="K618" s="133"/>
    </row>
    <row r="619" ht="14.25" customHeight="1">
      <c r="G619" s="133"/>
      <c r="H619" s="133"/>
      <c r="I619" s="133"/>
      <c r="K619" s="133"/>
    </row>
    <row r="620" ht="14.25" customHeight="1">
      <c r="G620" s="133"/>
      <c r="H620" s="133"/>
      <c r="I620" s="133"/>
      <c r="K620" s="133"/>
    </row>
    <row r="621" ht="14.25" customHeight="1">
      <c r="G621" s="133"/>
      <c r="H621" s="133"/>
      <c r="I621" s="133"/>
      <c r="K621" s="133"/>
    </row>
    <row r="622" ht="14.25" customHeight="1">
      <c r="G622" s="133"/>
      <c r="H622" s="133"/>
      <c r="I622" s="133"/>
      <c r="K622" s="133"/>
    </row>
    <row r="623" ht="14.25" customHeight="1">
      <c r="G623" s="133"/>
      <c r="H623" s="133"/>
      <c r="I623" s="133"/>
      <c r="K623" s="133"/>
    </row>
    <row r="624" ht="14.25" customHeight="1">
      <c r="G624" s="133"/>
      <c r="H624" s="133"/>
      <c r="I624" s="133"/>
      <c r="K624" s="133"/>
    </row>
    <row r="625" ht="14.25" customHeight="1">
      <c r="G625" s="133"/>
      <c r="H625" s="133"/>
      <c r="I625" s="133"/>
      <c r="K625" s="133"/>
    </row>
    <row r="626" ht="14.25" customHeight="1">
      <c r="G626" s="133"/>
      <c r="H626" s="133"/>
      <c r="I626" s="133"/>
      <c r="K626" s="133"/>
    </row>
    <row r="627" ht="14.25" customHeight="1">
      <c r="G627" s="133"/>
      <c r="H627" s="133"/>
      <c r="I627" s="133"/>
      <c r="K627" s="133"/>
    </row>
    <row r="628" ht="14.25" customHeight="1">
      <c r="G628" s="133"/>
      <c r="H628" s="133"/>
      <c r="I628" s="133"/>
      <c r="K628" s="133"/>
    </row>
    <row r="629" ht="14.25" customHeight="1">
      <c r="G629" s="133"/>
      <c r="H629" s="133"/>
      <c r="I629" s="133"/>
      <c r="K629" s="133"/>
    </row>
    <row r="630" ht="14.25" customHeight="1">
      <c r="G630" s="133"/>
      <c r="H630" s="133"/>
      <c r="I630" s="133"/>
      <c r="K630" s="133"/>
    </row>
    <row r="631" ht="14.25" customHeight="1">
      <c r="G631" s="133"/>
      <c r="H631" s="133"/>
      <c r="I631" s="133"/>
      <c r="K631" s="133"/>
    </row>
    <row r="632" ht="14.25" customHeight="1">
      <c r="G632" s="133"/>
      <c r="H632" s="133"/>
      <c r="I632" s="133"/>
      <c r="K632" s="133"/>
    </row>
    <row r="633" ht="14.25" customHeight="1">
      <c r="G633" s="133"/>
      <c r="H633" s="133"/>
      <c r="I633" s="133"/>
      <c r="K633" s="133"/>
    </row>
    <row r="634" ht="14.25" customHeight="1">
      <c r="G634" s="133"/>
      <c r="H634" s="133"/>
      <c r="I634" s="133"/>
      <c r="K634" s="133"/>
    </row>
    <row r="635" ht="14.25" customHeight="1">
      <c r="G635" s="133"/>
      <c r="H635" s="133"/>
      <c r="I635" s="133"/>
      <c r="K635" s="133"/>
    </row>
    <row r="636" ht="14.25" customHeight="1">
      <c r="G636" s="133"/>
      <c r="H636" s="133"/>
      <c r="I636" s="133"/>
      <c r="K636" s="133"/>
    </row>
    <row r="637" ht="14.25" customHeight="1">
      <c r="G637" s="133"/>
      <c r="H637" s="133"/>
      <c r="I637" s="133"/>
      <c r="K637" s="133"/>
    </row>
    <row r="638" ht="14.25" customHeight="1">
      <c r="G638" s="133"/>
      <c r="H638" s="133"/>
      <c r="I638" s="133"/>
      <c r="K638" s="133"/>
    </row>
    <row r="639" ht="14.25" customHeight="1">
      <c r="G639" s="133"/>
      <c r="H639" s="133"/>
      <c r="I639" s="133"/>
      <c r="K639" s="133"/>
    </row>
    <row r="640" ht="14.25" customHeight="1">
      <c r="G640" s="133"/>
      <c r="H640" s="133"/>
      <c r="I640" s="133"/>
      <c r="K640" s="133"/>
    </row>
    <row r="641" ht="14.25" customHeight="1">
      <c r="G641" s="133"/>
      <c r="H641" s="133"/>
      <c r="I641" s="133"/>
      <c r="K641" s="133"/>
    </row>
    <row r="642" ht="14.25" customHeight="1">
      <c r="G642" s="133"/>
      <c r="H642" s="133"/>
      <c r="I642" s="133"/>
      <c r="K642" s="133"/>
    </row>
    <row r="643" ht="14.25" customHeight="1">
      <c r="G643" s="133"/>
      <c r="H643" s="133"/>
      <c r="I643" s="133"/>
      <c r="K643" s="133"/>
    </row>
    <row r="644" ht="14.25" customHeight="1">
      <c r="G644" s="133"/>
      <c r="H644" s="133"/>
      <c r="I644" s="133"/>
      <c r="K644" s="133"/>
    </row>
    <row r="645" ht="14.25" customHeight="1">
      <c r="G645" s="133"/>
      <c r="H645" s="133"/>
      <c r="I645" s="133"/>
      <c r="K645" s="133"/>
    </row>
    <row r="646" ht="14.25" customHeight="1">
      <c r="G646" s="133"/>
      <c r="H646" s="133"/>
      <c r="I646" s="133"/>
      <c r="K646" s="133"/>
    </row>
    <row r="647" ht="14.25" customHeight="1">
      <c r="G647" s="133"/>
      <c r="H647" s="133"/>
      <c r="I647" s="133"/>
      <c r="K647" s="133"/>
    </row>
    <row r="648" ht="14.25" customHeight="1">
      <c r="G648" s="133"/>
      <c r="H648" s="133"/>
      <c r="I648" s="133"/>
      <c r="K648" s="133"/>
    </row>
    <row r="649" ht="14.25" customHeight="1">
      <c r="G649" s="133"/>
      <c r="H649" s="133"/>
      <c r="I649" s="133"/>
      <c r="K649" s="133"/>
    </row>
    <row r="650" ht="14.25" customHeight="1">
      <c r="G650" s="133"/>
      <c r="H650" s="133"/>
      <c r="I650" s="133"/>
      <c r="K650" s="133"/>
    </row>
    <row r="651" ht="14.25" customHeight="1">
      <c r="G651" s="133"/>
      <c r="H651" s="133"/>
      <c r="I651" s="133"/>
      <c r="K651" s="133"/>
    </row>
    <row r="652" ht="14.25" customHeight="1">
      <c r="G652" s="133"/>
      <c r="H652" s="133"/>
      <c r="I652" s="133"/>
      <c r="K652" s="133"/>
    </row>
    <row r="653" ht="14.25" customHeight="1">
      <c r="G653" s="133"/>
      <c r="H653" s="133"/>
      <c r="I653" s="133"/>
      <c r="K653" s="133"/>
    </row>
    <row r="654" ht="14.25" customHeight="1">
      <c r="G654" s="133"/>
      <c r="H654" s="133"/>
      <c r="I654" s="133"/>
      <c r="K654" s="133"/>
    </row>
    <row r="655" ht="14.25" customHeight="1">
      <c r="G655" s="133"/>
      <c r="H655" s="133"/>
      <c r="I655" s="133"/>
      <c r="K655" s="133"/>
    </row>
    <row r="656" ht="14.25" customHeight="1">
      <c r="G656" s="133"/>
      <c r="H656" s="133"/>
      <c r="I656" s="133"/>
      <c r="K656" s="133"/>
    </row>
    <row r="657" ht="14.25" customHeight="1">
      <c r="G657" s="133"/>
      <c r="H657" s="133"/>
      <c r="I657" s="133"/>
      <c r="K657" s="133"/>
    </row>
    <row r="658" ht="14.25" customHeight="1">
      <c r="G658" s="133"/>
      <c r="H658" s="133"/>
      <c r="I658" s="133"/>
      <c r="K658" s="133"/>
    </row>
    <row r="659" ht="14.25" customHeight="1">
      <c r="G659" s="133"/>
      <c r="H659" s="133"/>
      <c r="I659" s="133"/>
      <c r="K659" s="133"/>
    </row>
    <row r="660" ht="14.25" customHeight="1">
      <c r="G660" s="133"/>
      <c r="H660" s="133"/>
      <c r="I660" s="133"/>
      <c r="K660" s="133"/>
    </row>
    <row r="661" ht="14.25" customHeight="1">
      <c r="G661" s="133"/>
      <c r="H661" s="133"/>
      <c r="I661" s="133"/>
      <c r="K661" s="133"/>
    </row>
    <row r="662" ht="14.25" customHeight="1">
      <c r="G662" s="133"/>
      <c r="H662" s="133"/>
      <c r="I662" s="133"/>
      <c r="K662" s="133"/>
    </row>
    <row r="663" ht="14.25" customHeight="1">
      <c r="G663" s="133"/>
      <c r="H663" s="133"/>
      <c r="I663" s="133"/>
      <c r="K663" s="133"/>
    </row>
    <row r="664" ht="14.25" customHeight="1">
      <c r="G664" s="133"/>
      <c r="H664" s="133"/>
      <c r="I664" s="133"/>
      <c r="K664" s="133"/>
    </row>
    <row r="665" ht="14.25" customHeight="1">
      <c r="G665" s="133"/>
      <c r="H665" s="133"/>
      <c r="I665" s="133"/>
      <c r="K665" s="133"/>
    </row>
    <row r="666" ht="14.25" customHeight="1">
      <c r="G666" s="133"/>
      <c r="H666" s="133"/>
      <c r="I666" s="133"/>
      <c r="K666" s="133"/>
    </row>
    <row r="667" ht="14.25" customHeight="1">
      <c r="G667" s="133"/>
      <c r="H667" s="133"/>
      <c r="I667" s="133"/>
      <c r="K667" s="133"/>
    </row>
    <row r="668" ht="14.25" customHeight="1">
      <c r="G668" s="133"/>
      <c r="H668" s="133"/>
      <c r="I668" s="133"/>
      <c r="K668" s="133"/>
    </row>
    <row r="669" ht="14.25" customHeight="1">
      <c r="G669" s="133"/>
      <c r="H669" s="133"/>
      <c r="I669" s="133"/>
      <c r="K669" s="133"/>
    </row>
    <row r="670" ht="14.25" customHeight="1">
      <c r="G670" s="133"/>
      <c r="H670" s="133"/>
      <c r="I670" s="133"/>
      <c r="K670" s="133"/>
    </row>
    <row r="671" ht="14.25" customHeight="1">
      <c r="G671" s="133"/>
      <c r="H671" s="133"/>
      <c r="I671" s="133"/>
      <c r="K671" s="133"/>
    </row>
    <row r="672" ht="14.25" customHeight="1">
      <c r="G672" s="133"/>
      <c r="H672" s="133"/>
      <c r="I672" s="133"/>
      <c r="K672" s="133"/>
    </row>
    <row r="673" ht="14.25" customHeight="1">
      <c r="G673" s="133"/>
      <c r="H673" s="133"/>
      <c r="I673" s="133"/>
      <c r="K673" s="133"/>
    </row>
    <row r="674" ht="14.25" customHeight="1">
      <c r="G674" s="133"/>
      <c r="H674" s="133"/>
      <c r="I674" s="133"/>
      <c r="K674" s="133"/>
    </row>
    <row r="675" ht="14.25" customHeight="1">
      <c r="G675" s="133"/>
      <c r="H675" s="133"/>
      <c r="I675" s="133"/>
      <c r="K675" s="133"/>
    </row>
    <row r="676" ht="14.25" customHeight="1">
      <c r="G676" s="133"/>
      <c r="H676" s="133"/>
      <c r="I676" s="133"/>
      <c r="K676" s="133"/>
    </row>
    <row r="677" ht="14.25" customHeight="1">
      <c r="G677" s="133"/>
      <c r="H677" s="133"/>
      <c r="I677" s="133"/>
      <c r="K677" s="133"/>
    </row>
    <row r="678" ht="14.25" customHeight="1">
      <c r="G678" s="133"/>
      <c r="H678" s="133"/>
      <c r="I678" s="133"/>
      <c r="K678" s="133"/>
    </row>
    <row r="679" ht="14.25" customHeight="1">
      <c r="G679" s="133"/>
      <c r="H679" s="133"/>
      <c r="I679" s="133"/>
      <c r="K679" s="133"/>
    </row>
    <row r="680" ht="14.25" customHeight="1">
      <c r="G680" s="133"/>
      <c r="H680" s="133"/>
      <c r="I680" s="133"/>
      <c r="K680" s="133"/>
    </row>
    <row r="681" ht="14.25" customHeight="1">
      <c r="G681" s="133"/>
      <c r="H681" s="133"/>
      <c r="I681" s="133"/>
      <c r="K681" s="133"/>
    </row>
    <row r="682" ht="14.25" customHeight="1">
      <c r="G682" s="133"/>
      <c r="H682" s="133"/>
      <c r="I682" s="133"/>
      <c r="K682" s="133"/>
    </row>
    <row r="683" ht="14.25" customHeight="1">
      <c r="G683" s="133"/>
      <c r="H683" s="133"/>
      <c r="I683" s="133"/>
      <c r="K683" s="133"/>
    </row>
    <row r="684" ht="14.25" customHeight="1">
      <c r="G684" s="133"/>
      <c r="H684" s="133"/>
      <c r="I684" s="133"/>
      <c r="K684" s="133"/>
    </row>
    <row r="685" ht="14.25" customHeight="1">
      <c r="G685" s="133"/>
      <c r="H685" s="133"/>
      <c r="I685" s="133"/>
      <c r="K685" s="133"/>
    </row>
    <row r="686" ht="14.25" customHeight="1">
      <c r="G686" s="133"/>
      <c r="H686" s="133"/>
      <c r="I686" s="133"/>
      <c r="K686" s="133"/>
    </row>
    <row r="687" ht="14.25" customHeight="1">
      <c r="G687" s="133"/>
      <c r="H687" s="133"/>
      <c r="I687" s="133"/>
      <c r="K687" s="133"/>
    </row>
    <row r="688" ht="14.25" customHeight="1">
      <c r="G688" s="133"/>
      <c r="H688" s="133"/>
      <c r="I688" s="133"/>
      <c r="K688" s="133"/>
    </row>
    <row r="689" ht="14.25" customHeight="1">
      <c r="G689" s="133"/>
      <c r="H689" s="133"/>
      <c r="I689" s="133"/>
      <c r="K689" s="133"/>
    </row>
    <row r="690" ht="14.25" customHeight="1">
      <c r="G690" s="133"/>
      <c r="H690" s="133"/>
      <c r="I690" s="133"/>
      <c r="K690" s="133"/>
    </row>
    <row r="691" ht="14.25" customHeight="1">
      <c r="G691" s="133"/>
      <c r="H691" s="133"/>
      <c r="I691" s="133"/>
      <c r="K691" s="133"/>
    </row>
    <row r="692" ht="14.25" customHeight="1">
      <c r="G692" s="133"/>
      <c r="H692" s="133"/>
      <c r="I692" s="133"/>
      <c r="K692" s="133"/>
    </row>
    <row r="693" ht="14.25" customHeight="1">
      <c r="G693" s="133"/>
      <c r="H693" s="133"/>
      <c r="I693" s="133"/>
      <c r="K693" s="133"/>
    </row>
    <row r="694" ht="14.25" customHeight="1">
      <c r="G694" s="133"/>
      <c r="H694" s="133"/>
      <c r="I694" s="133"/>
      <c r="K694" s="133"/>
    </row>
    <row r="695" ht="14.25" customHeight="1">
      <c r="G695" s="133"/>
      <c r="H695" s="133"/>
      <c r="I695" s="133"/>
      <c r="K695" s="133"/>
    </row>
    <row r="696" ht="14.25" customHeight="1">
      <c r="G696" s="133"/>
      <c r="H696" s="133"/>
      <c r="I696" s="133"/>
      <c r="K696" s="133"/>
    </row>
    <row r="697" ht="14.25" customHeight="1">
      <c r="G697" s="133"/>
      <c r="H697" s="133"/>
      <c r="I697" s="133"/>
      <c r="K697" s="133"/>
    </row>
    <row r="698" ht="14.25" customHeight="1">
      <c r="G698" s="133"/>
      <c r="H698" s="133"/>
      <c r="I698" s="133"/>
      <c r="K698" s="133"/>
    </row>
    <row r="699" ht="14.25" customHeight="1">
      <c r="G699" s="133"/>
      <c r="H699" s="133"/>
      <c r="I699" s="133"/>
      <c r="K699" s="133"/>
    </row>
    <row r="700" ht="14.25" customHeight="1">
      <c r="G700" s="133"/>
      <c r="H700" s="133"/>
      <c r="I700" s="133"/>
      <c r="K700" s="133"/>
    </row>
    <row r="701" ht="14.25" customHeight="1">
      <c r="G701" s="133"/>
      <c r="H701" s="133"/>
      <c r="I701" s="133"/>
      <c r="K701" s="133"/>
    </row>
    <row r="702" ht="14.25" customHeight="1">
      <c r="G702" s="133"/>
      <c r="H702" s="133"/>
      <c r="I702" s="133"/>
      <c r="K702" s="133"/>
    </row>
    <row r="703" ht="14.25" customHeight="1">
      <c r="G703" s="133"/>
      <c r="H703" s="133"/>
      <c r="I703" s="133"/>
      <c r="K703" s="133"/>
    </row>
    <row r="704" ht="14.25" customHeight="1">
      <c r="G704" s="133"/>
      <c r="H704" s="133"/>
      <c r="I704" s="133"/>
      <c r="K704" s="133"/>
    </row>
    <row r="705" ht="14.25" customHeight="1">
      <c r="G705" s="133"/>
      <c r="H705" s="133"/>
      <c r="I705" s="133"/>
      <c r="K705" s="133"/>
    </row>
    <row r="706" ht="14.25" customHeight="1">
      <c r="G706" s="133"/>
      <c r="H706" s="133"/>
      <c r="I706" s="133"/>
      <c r="K706" s="133"/>
    </row>
    <row r="707" ht="14.25" customHeight="1">
      <c r="G707" s="133"/>
      <c r="H707" s="133"/>
      <c r="I707" s="133"/>
      <c r="K707" s="133"/>
    </row>
    <row r="708" ht="14.25" customHeight="1">
      <c r="G708" s="133"/>
      <c r="H708" s="133"/>
      <c r="I708" s="133"/>
      <c r="K708" s="133"/>
    </row>
    <row r="709" ht="14.25" customHeight="1">
      <c r="G709" s="133"/>
      <c r="H709" s="133"/>
      <c r="I709" s="133"/>
      <c r="K709" s="133"/>
    </row>
    <row r="710" ht="14.25" customHeight="1">
      <c r="G710" s="133"/>
      <c r="H710" s="133"/>
      <c r="I710" s="133"/>
      <c r="K710" s="133"/>
    </row>
    <row r="711" ht="14.25" customHeight="1">
      <c r="G711" s="133"/>
      <c r="H711" s="133"/>
      <c r="I711" s="133"/>
      <c r="K711" s="133"/>
    </row>
    <row r="712" ht="14.25" customHeight="1">
      <c r="G712" s="133"/>
      <c r="H712" s="133"/>
      <c r="I712" s="133"/>
      <c r="K712" s="133"/>
    </row>
    <row r="713" ht="14.25" customHeight="1">
      <c r="G713" s="133"/>
      <c r="H713" s="133"/>
      <c r="I713" s="133"/>
      <c r="K713" s="133"/>
    </row>
    <row r="714" ht="14.25" customHeight="1">
      <c r="G714" s="133"/>
      <c r="H714" s="133"/>
      <c r="I714" s="133"/>
      <c r="K714" s="133"/>
    </row>
    <row r="715" ht="14.25" customHeight="1">
      <c r="G715" s="133"/>
      <c r="H715" s="133"/>
      <c r="I715" s="133"/>
      <c r="K715" s="133"/>
    </row>
    <row r="716" ht="14.25" customHeight="1">
      <c r="G716" s="133"/>
      <c r="H716" s="133"/>
      <c r="I716" s="133"/>
      <c r="K716" s="133"/>
    </row>
    <row r="717" ht="14.25" customHeight="1">
      <c r="G717" s="133"/>
      <c r="H717" s="133"/>
      <c r="I717" s="133"/>
      <c r="K717" s="133"/>
    </row>
    <row r="718" ht="14.25" customHeight="1">
      <c r="G718" s="133"/>
      <c r="H718" s="133"/>
      <c r="I718" s="133"/>
      <c r="K718" s="133"/>
    </row>
    <row r="719" ht="14.25" customHeight="1">
      <c r="G719" s="133"/>
      <c r="H719" s="133"/>
      <c r="I719" s="133"/>
      <c r="K719" s="133"/>
    </row>
    <row r="720" ht="14.25" customHeight="1">
      <c r="G720" s="133"/>
      <c r="H720" s="133"/>
      <c r="I720" s="133"/>
      <c r="K720" s="133"/>
    </row>
    <row r="721" ht="14.25" customHeight="1">
      <c r="G721" s="133"/>
      <c r="H721" s="133"/>
      <c r="I721" s="133"/>
      <c r="K721" s="133"/>
    </row>
    <row r="722" ht="14.25" customHeight="1">
      <c r="G722" s="133"/>
      <c r="H722" s="133"/>
      <c r="I722" s="133"/>
      <c r="K722" s="133"/>
    </row>
    <row r="723" ht="14.25" customHeight="1">
      <c r="G723" s="133"/>
      <c r="H723" s="133"/>
      <c r="I723" s="133"/>
      <c r="K723" s="133"/>
    </row>
    <row r="724" ht="14.25" customHeight="1">
      <c r="G724" s="133"/>
      <c r="H724" s="133"/>
      <c r="I724" s="133"/>
      <c r="K724" s="133"/>
    </row>
    <row r="725" ht="14.25" customHeight="1">
      <c r="G725" s="133"/>
      <c r="H725" s="133"/>
      <c r="I725" s="133"/>
      <c r="K725" s="133"/>
    </row>
    <row r="726" ht="14.25" customHeight="1">
      <c r="G726" s="133"/>
      <c r="H726" s="133"/>
      <c r="I726" s="133"/>
      <c r="K726" s="133"/>
    </row>
    <row r="727" ht="14.25" customHeight="1">
      <c r="G727" s="133"/>
      <c r="H727" s="133"/>
      <c r="I727" s="133"/>
      <c r="K727" s="133"/>
    </row>
    <row r="728" ht="14.25" customHeight="1">
      <c r="G728" s="133"/>
      <c r="H728" s="133"/>
      <c r="I728" s="133"/>
      <c r="K728" s="133"/>
    </row>
    <row r="729" ht="14.25" customHeight="1">
      <c r="G729" s="133"/>
      <c r="H729" s="133"/>
      <c r="I729" s="133"/>
      <c r="K729" s="133"/>
    </row>
    <row r="730" ht="14.25" customHeight="1">
      <c r="G730" s="133"/>
      <c r="H730" s="133"/>
      <c r="I730" s="133"/>
      <c r="K730" s="133"/>
    </row>
    <row r="731" ht="14.25" customHeight="1">
      <c r="G731" s="133"/>
      <c r="H731" s="133"/>
      <c r="I731" s="133"/>
      <c r="K731" s="133"/>
    </row>
    <row r="732" ht="14.25" customHeight="1">
      <c r="G732" s="133"/>
      <c r="H732" s="133"/>
      <c r="I732" s="133"/>
      <c r="K732" s="133"/>
    </row>
    <row r="733" ht="14.25" customHeight="1">
      <c r="G733" s="133"/>
      <c r="H733" s="133"/>
      <c r="I733" s="133"/>
      <c r="K733" s="133"/>
    </row>
    <row r="734" ht="14.25" customHeight="1">
      <c r="G734" s="133"/>
      <c r="H734" s="133"/>
      <c r="I734" s="133"/>
      <c r="K734" s="133"/>
    </row>
    <row r="735" ht="14.25" customHeight="1">
      <c r="G735" s="133"/>
      <c r="H735" s="133"/>
      <c r="I735" s="133"/>
      <c r="K735" s="133"/>
    </row>
    <row r="736" ht="14.25" customHeight="1">
      <c r="G736" s="133"/>
      <c r="H736" s="133"/>
      <c r="I736" s="133"/>
      <c r="K736" s="133"/>
    </row>
    <row r="737" ht="14.25" customHeight="1">
      <c r="G737" s="133"/>
      <c r="H737" s="133"/>
      <c r="I737" s="133"/>
      <c r="K737" s="133"/>
    </row>
    <row r="738" ht="14.25" customHeight="1">
      <c r="G738" s="133"/>
      <c r="H738" s="133"/>
      <c r="I738" s="133"/>
      <c r="K738" s="133"/>
    </row>
    <row r="739" ht="14.25" customHeight="1">
      <c r="G739" s="133"/>
      <c r="H739" s="133"/>
      <c r="I739" s="133"/>
      <c r="K739" s="133"/>
    </row>
    <row r="740" ht="14.25" customHeight="1">
      <c r="G740" s="133"/>
      <c r="H740" s="133"/>
      <c r="I740" s="133"/>
      <c r="K740" s="133"/>
    </row>
    <row r="741" ht="14.25" customHeight="1">
      <c r="G741" s="133"/>
      <c r="H741" s="133"/>
      <c r="I741" s="133"/>
      <c r="K741" s="133"/>
    </row>
    <row r="742" ht="14.25" customHeight="1">
      <c r="G742" s="133"/>
      <c r="H742" s="133"/>
      <c r="I742" s="133"/>
      <c r="K742" s="133"/>
    </row>
    <row r="743" ht="14.25" customHeight="1">
      <c r="G743" s="133"/>
      <c r="H743" s="133"/>
      <c r="I743" s="133"/>
      <c r="K743" s="133"/>
    </row>
    <row r="744" ht="14.25" customHeight="1">
      <c r="G744" s="133"/>
      <c r="H744" s="133"/>
      <c r="I744" s="133"/>
      <c r="K744" s="133"/>
    </row>
    <row r="745" ht="14.25" customHeight="1">
      <c r="G745" s="133"/>
      <c r="H745" s="133"/>
      <c r="I745" s="133"/>
      <c r="K745" s="133"/>
    </row>
    <row r="746" ht="14.25" customHeight="1">
      <c r="G746" s="133"/>
      <c r="H746" s="133"/>
      <c r="I746" s="133"/>
      <c r="K746" s="133"/>
    </row>
    <row r="747" ht="14.25" customHeight="1">
      <c r="G747" s="133"/>
      <c r="H747" s="133"/>
      <c r="I747" s="133"/>
      <c r="K747" s="133"/>
    </row>
    <row r="748" ht="14.25" customHeight="1">
      <c r="G748" s="133"/>
      <c r="H748" s="133"/>
      <c r="I748" s="133"/>
      <c r="K748" s="133"/>
    </row>
    <row r="749" ht="14.25" customHeight="1">
      <c r="G749" s="133"/>
      <c r="H749" s="133"/>
      <c r="I749" s="133"/>
      <c r="K749" s="133"/>
    </row>
    <row r="750" ht="14.25" customHeight="1">
      <c r="G750" s="133"/>
      <c r="H750" s="133"/>
      <c r="I750" s="133"/>
      <c r="K750" s="133"/>
    </row>
    <row r="751" ht="14.25" customHeight="1">
      <c r="G751" s="133"/>
      <c r="H751" s="133"/>
      <c r="I751" s="133"/>
      <c r="K751" s="133"/>
    </row>
    <row r="752" ht="14.25" customHeight="1">
      <c r="G752" s="133"/>
      <c r="H752" s="133"/>
      <c r="I752" s="133"/>
      <c r="K752" s="133"/>
    </row>
    <row r="753" ht="14.25" customHeight="1">
      <c r="G753" s="133"/>
      <c r="H753" s="133"/>
      <c r="I753" s="133"/>
      <c r="K753" s="133"/>
    </row>
    <row r="754" ht="14.25" customHeight="1">
      <c r="G754" s="133"/>
      <c r="H754" s="133"/>
      <c r="I754" s="133"/>
      <c r="K754" s="133"/>
    </row>
    <row r="755" ht="14.25" customHeight="1">
      <c r="G755" s="133"/>
      <c r="H755" s="133"/>
      <c r="I755" s="133"/>
      <c r="K755" s="133"/>
    </row>
    <row r="756" ht="14.25" customHeight="1">
      <c r="G756" s="133"/>
      <c r="H756" s="133"/>
      <c r="I756" s="133"/>
      <c r="K756" s="133"/>
    </row>
    <row r="757" ht="14.25" customHeight="1">
      <c r="G757" s="133"/>
      <c r="H757" s="133"/>
      <c r="I757" s="133"/>
      <c r="K757" s="133"/>
    </row>
    <row r="758" ht="14.25" customHeight="1">
      <c r="G758" s="133"/>
      <c r="H758" s="133"/>
      <c r="I758" s="133"/>
      <c r="K758" s="133"/>
    </row>
    <row r="759" ht="14.25" customHeight="1">
      <c r="G759" s="133"/>
      <c r="H759" s="133"/>
      <c r="I759" s="133"/>
      <c r="K759" s="133"/>
    </row>
    <row r="760" ht="14.25" customHeight="1">
      <c r="G760" s="133"/>
      <c r="H760" s="133"/>
      <c r="I760" s="133"/>
      <c r="K760" s="133"/>
    </row>
    <row r="761" ht="14.25" customHeight="1">
      <c r="G761" s="133"/>
      <c r="H761" s="133"/>
      <c r="I761" s="133"/>
      <c r="K761" s="133"/>
    </row>
    <row r="762" ht="14.25" customHeight="1">
      <c r="G762" s="133"/>
      <c r="H762" s="133"/>
      <c r="I762" s="133"/>
      <c r="K762" s="133"/>
    </row>
    <row r="763" ht="14.25" customHeight="1">
      <c r="G763" s="133"/>
      <c r="H763" s="133"/>
      <c r="I763" s="133"/>
      <c r="K763" s="133"/>
    </row>
    <row r="764" ht="14.25" customHeight="1">
      <c r="G764" s="133"/>
      <c r="H764" s="133"/>
      <c r="I764" s="133"/>
      <c r="K764" s="133"/>
    </row>
    <row r="765" ht="14.25" customHeight="1">
      <c r="G765" s="133"/>
      <c r="H765" s="133"/>
      <c r="I765" s="133"/>
      <c r="K765" s="133"/>
    </row>
    <row r="766" ht="14.25" customHeight="1">
      <c r="G766" s="133"/>
      <c r="H766" s="133"/>
      <c r="I766" s="133"/>
      <c r="K766" s="133"/>
    </row>
    <row r="767" ht="14.25" customHeight="1">
      <c r="G767" s="133"/>
      <c r="H767" s="133"/>
      <c r="I767" s="133"/>
      <c r="K767" s="133"/>
    </row>
    <row r="768" ht="14.25" customHeight="1">
      <c r="G768" s="133"/>
      <c r="H768" s="133"/>
      <c r="I768" s="133"/>
      <c r="K768" s="133"/>
    </row>
    <row r="769" ht="14.25" customHeight="1">
      <c r="G769" s="133"/>
      <c r="H769" s="133"/>
      <c r="I769" s="133"/>
      <c r="K769" s="133"/>
    </row>
    <row r="770" ht="14.25" customHeight="1">
      <c r="G770" s="133"/>
      <c r="H770" s="133"/>
      <c r="I770" s="133"/>
      <c r="K770" s="133"/>
    </row>
    <row r="771" ht="14.25" customHeight="1">
      <c r="G771" s="133"/>
      <c r="H771" s="133"/>
      <c r="I771" s="133"/>
      <c r="K771" s="133"/>
    </row>
    <row r="772" ht="14.25" customHeight="1">
      <c r="G772" s="133"/>
      <c r="H772" s="133"/>
      <c r="I772" s="133"/>
      <c r="K772" s="133"/>
    </row>
    <row r="773" ht="14.25" customHeight="1">
      <c r="G773" s="133"/>
      <c r="H773" s="133"/>
      <c r="I773" s="133"/>
      <c r="K773" s="133"/>
    </row>
    <row r="774" ht="14.25" customHeight="1">
      <c r="G774" s="133"/>
      <c r="H774" s="133"/>
      <c r="I774" s="133"/>
      <c r="K774" s="133"/>
    </row>
    <row r="775" ht="14.25" customHeight="1">
      <c r="G775" s="133"/>
      <c r="H775" s="133"/>
      <c r="I775" s="133"/>
      <c r="K775" s="133"/>
    </row>
    <row r="776" ht="14.25" customHeight="1">
      <c r="G776" s="133"/>
      <c r="H776" s="133"/>
      <c r="I776" s="133"/>
      <c r="K776" s="133"/>
    </row>
    <row r="777" ht="14.25" customHeight="1">
      <c r="G777" s="133"/>
      <c r="H777" s="133"/>
      <c r="I777" s="133"/>
      <c r="K777" s="133"/>
    </row>
    <row r="778" ht="14.25" customHeight="1">
      <c r="G778" s="133"/>
      <c r="H778" s="133"/>
      <c r="I778" s="133"/>
      <c r="K778" s="133"/>
    </row>
    <row r="779" ht="14.25" customHeight="1">
      <c r="G779" s="133"/>
      <c r="H779" s="133"/>
      <c r="I779" s="133"/>
      <c r="K779" s="133"/>
    </row>
    <row r="780" ht="14.25" customHeight="1">
      <c r="G780" s="133"/>
      <c r="H780" s="133"/>
      <c r="I780" s="133"/>
      <c r="K780" s="133"/>
    </row>
    <row r="781" ht="14.25" customHeight="1">
      <c r="G781" s="133"/>
      <c r="H781" s="133"/>
      <c r="I781" s="133"/>
      <c r="K781" s="133"/>
    </row>
    <row r="782" ht="14.25" customHeight="1">
      <c r="G782" s="133"/>
      <c r="H782" s="133"/>
      <c r="I782" s="133"/>
      <c r="K782" s="133"/>
    </row>
    <row r="783" ht="14.25" customHeight="1">
      <c r="G783" s="133"/>
      <c r="H783" s="133"/>
      <c r="I783" s="133"/>
      <c r="K783" s="133"/>
    </row>
    <row r="784" ht="14.25" customHeight="1">
      <c r="G784" s="133"/>
      <c r="H784" s="133"/>
      <c r="I784" s="133"/>
      <c r="K784" s="133"/>
    </row>
    <row r="785" ht="14.25" customHeight="1">
      <c r="G785" s="133"/>
      <c r="H785" s="133"/>
      <c r="I785" s="133"/>
      <c r="K785" s="133"/>
    </row>
    <row r="786" ht="14.25" customHeight="1">
      <c r="G786" s="133"/>
      <c r="H786" s="133"/>
      <c r="I786" s="133"/>
      <c r="K786" s="133"/>
    </row>
    <row r="787" ht="14.25" customHeight="1">
      <c r="G787" s="133"/>
      <c r="H787" s="133"/>
      <c r="I787" s="133"/>
      <c r="K787" s="133"/>
    </row>
    <row r="788" ht="14.25" customHeight="1">
      <c r="G788" s="133"/>
      <c r="H788" s="133"/>
      <c r="I788" s="133"/>
      <c r="K788" s="133"/>
    </row>
    <row r="789" ht="14.25" customHeight="1">
      <c r="G789" s="133"/>
      <c r="H789" s="133"/>
      <c r="I789" s="133"/>
      <c r="K789" s="133"/>
    </row>
    <row r="790" ht="14.25" customHeight="1">
      <c r="G790" s="133"/>
      <c r="H790" s="133"/>
      <c r="I790" s="133"/>
      <c r="K790" s="133"/>
    </row>
    <row r="791" ht="14.25" customHeight="1">
      <c r="G791" s="133"/>
      <c r="H791" s="133"/>
      <c r="I791" s="133"/>
      <c r="K791" s="133"/>
    </row>
    <row r="792" ht="14.25" customHeight="1">
      <c r="G792" s="133"/>
      <c r="H792" s="133"/>
      <c r="I792" s="133"/>
      <c r="K792" s="133"/>
    </row>
    <row r="793" ht="14.25" customHeight="1">
      <c r="G793" s="133"/>
      <c r="H793" s="133"/>
      <c r="I793" s="133"/>
      <c r="K793" s="133"/>
    </row>
    <row r="794" ht="14.25" customHeight="1">
      <c r="G794" s="133"/>
      <c r="H794" s="133"/>
      <c r="I794" s="133"/>
      <c r="K794" s="133"/>
    </row>
    <row r="795" ht="14.25" customHeight="1">
      <c r="G795" s="133"/>
      <c r="H795" s="133"/>
      <c r="I795" s="133"/>
      <c r="K795" s="133"/>
    </row>
    <row r="796" ht="14.25" customHeight="1">
      <c r="G796" s="133"/>
      <c r="H796" s="133"/>
      <c r="I796" s="133"/>
      <c r="K796" s="133"/>
    </row>
    <row r="797" ht="14.25" customHeight="1">
      <c r="G797" s="133"/>
      <c r="H797" s="133"/>
      <c r="I797" s="133"/>
      <c r="K797" s="133"/>
    </row>
    <row r="798" ht="14.25" customHeight="1">
      <c r="G798" s="133"/>
      <c r="H798" s="133"/>
      <c r="I798" s="133"/>
      <c r="K798" s="133"/>
    </row>
    <row r="799" ht="14.25" customHeight="1">
      <c r="G799" s="133"/>
      <c r="H799" s="133"/>
      <c r="I799" s="133"/>
      <c r="K799" s="133"/>
    </row>
    <row r="800" ht="14.25" customHeight="1">
      <c r="G800" s="133"/>
      <c r="H800" s="133"/>
      <c r="I800" s="133"/>
      <c r="K800" s="133"/>
    </row>
    <row r="801" ht="14.25" customHeight="1">
      <c r="G801" s="133"/>
      <c r="H801" s="133"/>
      <c r="I801" s="133"/>
      <c r="K801" s="133"/>
    </row>
    <row r="802" ht="14.25" customHeight="1">
      <c r="G802" s="133"/>
      <c r="H802" s="133"/>
      <c r="I802" s="133"/>
      <c r="K802" s="133"/>
    </row>
    <row r="803" ht="14.25" customHeight="1">
      <c r="G803" s="133"/>
      <c r="H803" s="133"/>
      <c r="I803" s="133"/>
      <c r="K803" s="133"/>
    </row>
    <row r="804" ht="14.25" customHeight="1">
      <c r="G804" s="133"/>
      <c r="H804" s="133"/>
      <c r="I804" s="133"/>
      <c r="K804" s="133"/>
    </row>
    <row r="805" ht="14.25" customHeight="1">
      <c r="G805" s="133"/>
      <c r="H805" s="133"/>
      <c r="I805" s="133"/>
      <c r="K805" s="133"/>
    </row>
    <row r="806" ht="14.25" customHeight="1">
      <c r="G806" s="133"/>
      <c r="H806" s="133"/>
      <c r="I806" s="133"/>
      <c r="K806" s="133"/>
    </row>
    <row r="807" ht="14.25" customHeight="1">
      <c r="G807" s="133"/>
      <c r="H807" s="133"/>
      <c r="I807" s="133"/>
      <c r="K807" s="133"/>
    </row>
    <row r="808" ht="14.25" customHeight="1">
      <c r="G808" s="133"/>
      <c r="H808" s="133"/>
      <c r="I808" s="133"/>
      <c r="K808" s="133"/>
    </row>
    <row r="809" ht="14.25" customHeight="1">
      <c r="G809" s="133"/>
      <c r="H809" s="133"/>
      <c r="I809" s="133"/>
      <c r="K809" s="133"/>
    </row>
    <row r="810" ht="14.25" customHeight="1">
      <c r="G810" s="133"/>
      <c r="H810" s="133"/>
      <c r="I810" s="133"/>
      <c r="K810" s="133"/>
    </row>
    <row r="811" ht="14.25" customHeight="1">
      <c r="G811" s="133"/>
      <c r="H811" s="133"/>
      <c r="I811" s="133"/>
      <c r="K811" s="133"/>
    </row>
    <row r="812" ht="14.25" customHeight="1">
      <c r="G812" s="133"/>
      <c r="H812" s="133"/>
      <c r="I812" s="133"/>
      <c r="K812" s="133"/>
    </row>
    <row r="813" ht="14.25" customHeight="1">
      <c r="G813" s="133"/>
      <c r="H813" s="133"/>
      <c r="I813" s="133"/>
      <c r="K813" s="133"/>
    </row>
    <row r="814" ht="14.25" customHeight="1">
      <c r="G814" s="133"/>
      <c r="H814" s="133"/>
      <c r="I814" s="133"/>
      <c r="K814" s="133"/>
    </row>
    <row r="815" ht="14.25" customHeight="1">
      <c r="G815" s="133"/>
      <c r="H815" s="133"/>
      <c r="I815" s="133"/>
      <c r="K815" s="133"/>
    </row>
    <row r="816" ht="14.25" customHeight="1">
      <c r="G816" s="133"/>
      <c r="H816" s="133"/>
      <c r="I816" s="133"/>
      <c r="K816" s="133"/>
    </row>
    <row r="817" ht="14.25" customHeight="1">
      <c r="G817" s="133"/>
      <c r="H817" s="133"/>
      <c r="I817" s="133"/>
      <c r="K817" s="133"/>
    </row>
    <row r="818" ht="14.25" customHeight="1">
      <c r="G818" s="133"/>
      <c r="H818" s="133"/>
      <c r="I818" s="133"/>
      <c r="K818" s="133"/>
    </row>
    <row r="819" ht="14.25" customHeight="1">
      <c r="G819" s="133"/>
      <c r="H819" s="133"/>
      <c r="I819" s="133"/>
      <c r="K819" s="133"/>
    </row>
    <row r="820" ht="14.25" customHeight="1">
      <c r="G820" s="133"/>
      <c r="H820" s="133"/>
      <c r="I820" s="133"/>
      <c r="K820" s="133"/>
    </row>
    <row r="821" ht="14.25" customHeight="1">
      <c r="G821" s="133"/>
      <c r="H821" s="133"/>
      <c r="I821" s="133"/>
      <c r="K821" s="133"/>
    </row>
    <row r="822" ht="14.25" customHeight="1">
      <c r="G822" s="133"/>
      <c r="H822" s="133"/>
      <c r="I822" s="133"/>
      <c r="K822" s="133"/>
    </row>
    <row r="823" ht="14.25" customHeight="1">
      <c r="G823" s="133"/>
      <c r="H823" s="133"/>
      <c r="I823" s="133"/>
      <c r="K823" s="133"/>
    </row>
    <row r="824" ht="14.25" customHeight="1">
      <c r="G824" s="133"/>
      <c r="H824" s="133"/>
      <c r="I824" s="133"/>
      <c r="K824" s="133"/>
    </row>
    <row r="825" ht="14.25" customHeight="1">
      <c r="G825" s="133"/>
      <c r="H825" s="133"/>
      <c r="I825" s="133"/>
      <c r="K825" s="133"/>
    </row>
    <row r="826" ht="14.25" customHeight="1">
      <c r="G826" s="133"/>
      <c r="H826" s="133"/>
      <c r="I826" s="133"/>
      <c r="K826" s="133"/>
    </row>
    <row r="827" ht="14.25" customHeight="1">
      <c r="G827" s="133"/>
      <c r="H827" s="133"/>
      <c r="I827" s="133"/>
      <c r="K827" s="133"/>
    </row>
    <row r="828" ht="14.25" customHeight="1">
      <c r="G828" s="133"/>
      <c r="H828" s="133"/>
      <c r="I828" s="133"/>
      <c r="K828" s="133"/>
    </row>
    <row r="829" ht="14.25" customHeight="1">
      <c r="G829" s="133"/>
      <c r="H829" s="133"/>
      <c r="I829" s="133"/>
      <c r="K829" s="133"/>
    </row>
    <row r="830" ht="14.25" customHeight="1">
      <c r="G830" s="133"/>
      <c r="H830" s="133"/>
      <c r="I830" s="133"/>
      <c r="K830" s="133"/>
    </row>
    <row r="831" ht="14.25" customHeight="1">
      <c r="G831" s="133"/>
      <c r="H831" s="133"/>
      <c r="I831" s="133"/>
      <c r="K831" s="133"/>
    </row>
    <row r="832" ht="14.25" customHeight="1">
      <c r="G832" s="133"/>
      <c r="H832" s="133"/>
      <c r="I832" s="133"/>
      <c r="K832" s="133"/>
    </row>
    <row r="833" ht="14.25" customHeight="1">
      <c r="G833" s="133"/>
      <c r="H833" s="133"/>
      <c r="I833" s="133"/>
      <c r="K833" s="133"/>
    </row>
    <row r="834" ht="14.25" customHeight="1">
      <c r="G834" s="133"/>
      <c r="H834" s="133"/>
      <c r="I834" s="133"/>
      <c r="K834" s="133"/>
    </row>
    <row r="835" ht="14.25" customHeight="1">
      <c r="G835" s="133"/>
      <c r="H835" s="133"/>
      <c r="I835" s="133"/>
      <c r="K835" s="133"/>
    </row>
    <row r="836" ht="14.25" customHeight="1">
      <c r="G836" s="133"/>
      <c r="H836" s="133"/>
      <c r="I836" s="133"/>
      <c r="K836" s="133"/>
    </row>
    <row r="837" ht="14.25" customHeight="1">
      <c r="G837" s="133"/>
      <c r="H837" s="133"/>
      <c r="I837" s="133"/>
      <c r="K837" s="133"/>
    </row>
    <row r="838" ht="14.25" customHeight="1">
      <c r="G838" s="133"/>
      <c r="H838" s="133"/>
      <c r="I838" s="133"/>
      <c r="K838" s="133"/>
    </row>
    <row r="839" ht="14.25" customHeight="1">
      <c r="G839" s="133"/>
      <c r="H839" s="133"/>
      <c r="I839" s="133"/>
      <c r="K839" s="133"/>
    </row>
    <row r="840" ht="14.25" customHeight="1">
      <c r="G840" s="133"/>
      <c r="H840" s="133"/>
      <c r="I840" s="133"/>
      <c r="K840" s="133"/>
    </row>
    <row r="841" ht="14.25" customHeight="1">
      <c r="G841" s="133"/>
      <c r="H841" s="133"/>
      <c r="I841" s="133"/>
      <c r="K841" s="133"/>
    </row>
    <row r="842" ht="14.25" customHeight="1">
      <c r="G842" s="133"/>
      <c r="H842" s="133"/>
      <c r="I842" s="133"/>
      <c r="K842" s="133"/>
    </row>
    <row r="843" ht="14.25" customHeight="1">
      <c r="G843" s="133"/>
      <c r="H843" s="133"/>
      <c r="I843" s="133"/>
      <c r="K843" s="133"/>
    </row>
    <row r="844" ht="14.25" customHeight="1">
      <c r="G844" s="133"/>
      <c r="H844" s="133"/>
      <c r="I844" s="133"/>
      <c r="K844" s="133"/>
    </row>
    <row r="845" ht="14.25" customHeight="1">
      <c r="G845" s="133"/>
      <c r="H845" s="133"/>
      <c r="I845" s="133"/>
      <c r="K845" s="133"/>
    </row>
    <row r="846" ht="14.25" customHeight="1">
      <c r="G846" s="133"/>
      <c r="H846" s="133"/>
      <c r="I846" s="133"/>
      <c r="K846" s="133"/>
    </row>
    <row r="847" ht="14.25" customHeight="1">
      <c r="G847" s="133"/>
      <c r="H847" s="133"/>
      <c r="I847" s="133"/>
      <c r="K847" s="133"/>
    </row>
    <row r="848" ht="14.25" customHeight="1">
      <c r="G848" s="133"/>
      <c r="H848" s="133"/>
      <c r="I848" s="133"/>
      <c r="K848" s="133"/>
    </row>
    <row r="849" ht="14.25" customHeight="1">
      <c r="G849" s="133"/>
      <c r="H849" s="133"/>
      <c r="I849" s="133"/>
      <c r="K849" s="133"/>
    </row>
    <row r="850" ht="14.25" customHeight="1">
      <c r="G850" s="133"/>
      <c r="H850" s="133"/>
      <c r="I850" s="133"/>
      <c r="K850" s="133"/>
    </row>
    <row r="851" ht="14.25" customHeight="1">
      <c r="G851" s="133"/>
      <c r="H851" s="133"/>
      <c r="I851" s="133"/>
      <c r="K851" s="133"/>
    </row>
    <row r="852" ht="14.25" customHeight="1">
      <c r="G852" s="133"/>
      <c r="H852" s="133"/>
      <c r="I852" s="133"/>
      <c r="K852" s="133"/>
    </row>
    <row r="853" ht="14.25" customHeight="1">
      <c r="G853" s="133"/>
      <c r="H853" s="133"/>
      <c r="I853" s="133"/>
      <c r="K853" s="133"/>
    </row>
    <row r="854" ht="14.25" customHeight="1">
      <c r="G854" s="133"/>
      <c r="H854" s="133"/>
      <c r="I854" s="133"/>
      <c r="K854" s="133"/>
    </row>
    <row r="855" ht="14.25" customHeight="1">
      <c r="G855" s="133"/>
      <c r="H855" s="133"/>
      <c r="I855" s="133"/>
      <c r="K855" s="133"/>
    </row>
    <row r="856" ht="14.25" customHeight="1">
      <c r="G856" s="133"/>
      <c r="H856" s="133"/>
      <c r="I856" s="133"/>
      <c r="K856" s="133"/>
    </row>
    <row r="857" ht="14.25" customHeight="1">
      <c r="G857" s="133"/>
      <c r="H857" s="133"/>
      <c r="I857" s="133"/>
      <c r="K857" s="133"/>
    </row>
    <row r="858" ht="14.25" customHeight="1">
      <c r="G858" s="133"/>
      <c r="H858" s="133"/>
      <c r="I858" s="133"/>
      <c r="K858" s="133"/>
    </row>
    <row r="859" ht="14.25" customHeight="1">
      <c r="G859" s="133"/>
      <c r="H859" s="133"/>
      <c r="I859" s="133"/>
      <c r="K859" s="133"/>
    </row>
    <row r="860" ht="14.25" customHeight="1">
      <c r="G860" s="133"/>
      <c r="H860" s="133"/>
      <c r="I860" s="133"/>
      <c r="K860" s="133"/>
    </row>
    <row r="861" ht="14.25" customHeight="1">
      <c r="G861" s="133"/>
      <c r="H861" s="133"/>
      <c r="I861" s="133"/>
      <c r="K861" s="133"/>
    </row>
    <row r="862" ht="14.25" customHeight="1">
      <c r="G862" s="133"/>
      <c r="H862" s="133"/>
      <c r="I862" s="133"/>
      <c r="K862" s="133"/>
    </row>
    <row r="863" ht="14.25" customHeight="1">
      <c r="G863" s="133"/>
      <c r="H863" s="133"/>
      <c r="I863" s="133"/>
      <c r="K863" s="133"/>
    </row>
    <row r="864" ht="14.25" customHeight="1">
      <c r="G864" s="133"/>
      <c r="H864" s="133"/>
      <c r="I864" s="133"/>
      <c r="K864" s="133"/>
    </row>
    <row r="865" ht="14.25" customHeight="1">
      <c r="G865" s="133"/>
      <c r="H865" s="133"/>
      <c r="I865" s="133"/>
      <c r="K865" s="133"/>
    </row>
    <row r="866" ht="14.25" customHeight="1">
      <c r="G866" s="133"/>
      <c r="H866" s="133"/>
      <c r="I866" s="133"/>
      <c r="K866" s="133"/>
    </row>
    <row r="867" ht="14.25" customHeight="1">
      <c r="G867" s="133"/>
      <c r="H867" s="133"/>
      <c r="I867" s="133"/>
      <c r="K867" s="133"/>
    </row>
    <row r="868" ht="14.25" customHeight="1">
      <c r="G868" s="133"/>
      <c r="H868" s="133"/>
      <c r="I868" s="133"/>
      <c r="K868" s="133"/>
    </row>
    <row r="869" ht="14.25" customHeight="1">
      <c r="G869" s="133"/>
      <c r="H869" s="133"/>
      <c r="I869" s="133"/>
      <c r="K869" s="133"/>
    </row>
    <row r="870" ht="14.25" customHeight="1">
      <c r="G870" s="133"/>
      <c r="H870" s="133"/>
      <c r="I870" s="133"/>
      <c r="K870" s="133"/>
    </row>
    <row r="871" ht="14.25" customHeight="1">
      <c r="G871" s="133"/>
      <c r="H871" s="133"/>
      <c r="I871" s="133"/>
      <c r="K871" s="133"/>
    </row>
    <row r="872" ht="14.25" customHeight="1">
      <c r="G872" s="133"/>
      <c r="H872" s="133"/>
      <c r="I872" s="133"/>
      <c r="K872" s="133"/>
    </row>
    <row r="873" ht="14.25" customHeight="1">
      <c r="G873" s="133"/>
      <c r="H873" s="133"/>
      <c r="I873" s="133"/>
      <c r="K873" s="133"/>
    </row>
    <row r="874" ht="14.25" customHeight="1">
      <c r="G874" s="133"/>
      <c r="H874" s="133"/>
      <c r="I874" s="133"/>
      <c r="K874" s="133"/>
    </row>
    <row r="875" ht="14.25" customHeight="1">
      <c r="G875" s="133"/>
      <c r="H875" s="133"/>
      <c r="I875" s="133"/>
      <c r="K875" s="133"/>
    </row>
    <row r="876" ht="14.25" customHeight="1">
      <c r="G876" s="133"/>
      <c r="H876" s="133"/>
      <c r="I876" s="133"/>
      <c r="K876" s="133"/>
    </row>
    <row r="877" ht="14.25" customHeight="1">
      <c r="G877" s="133"/>
      <c r="H877" s="133"/>
      <c r="I877" s="133"/>
      <c r="K877" s="133"/>
    </row>
    <row r="878" ht="14.25" customHeight="1">
      <c r="G878" s="133"/>
      <c r="H878" s="133"/>
      <c r="I878" s="133"/>
      <c r="K878" s="133"/>
    </row>
    <row r="879" ht="14.25" customHeight="1">
      <c r="G879" s="133"/>
      <c r="H879" s="133"/>
      <c r="I879" s="133"/>
      <c r="K879" s="133"/>
    </row>
    <row r="880" ht="14.25" customHeight="1">
      <c r="G880" s="133"/>
      <c r="H880" s="133"/>
      <c r="I880" s="133"/>
      <c r="K880" s="133"/>
    </row>
    <row r="881" ht="14.25" customHeight="1">
      <c r="G881" s="133"/>
      <c r="H881" s="133"/>
      <c r="I881" s="133"/>
      <c r="K881" s="133"/>
    </row>
    <row r="882" ht="14.25" customHeight="1">
      <c r="G882" s="133"/>
      <c r="H882" s="133"/>
      <c r="I882" s="133"/>
      <c r="K882" s="133"/>
    </row>
    <row r="883" ht="14.25" customHeight="1">
      <c r="G883" s="133"/>
      <c r="H883" s="133"/>
      <c r="I883" s="133"/>
      <c r="K883" s="133"/>
    </row>
    <row r="884" ht="14.25" customHeight="1">
      <c r="G884" s="133"/>
      <c r="H884" s="133"/>
      <c r="I884" s="133"/>
      <c r="K884" s="133"/>
    </row>
    <row r="885" ht="14.25" customHeight="1">
      <c r="G885" s="133"/>
      <c r="H885" s="133"/>
      <c r="I885" s="133"/>
      <c r="K885" s="133"/>
    </row>
    <row r="886" ht="14.25" customHeight="1">
      <c r="G886" s="133"/>
      <c r="H886" s="133"/>
      <c r="I886" s="133"/>
      <c r="K886" s="133"/>
    </row>
    <row r="887" ht="14.25" customHeight="1">
      <c r="G887" s="133"/>
      <c r="H887" s="133"/>
      <c r="I887" s="133"/>
      <c r="K887" s="133"/>
    </row>
    <row r="888" ht="14.25" customHeight="1">
      <c r="G888" s="133"/>
      <c r="H888" s="133"/>
      <c r="I888" s="133"/>
      <c r="K888" s="133"/>
    </row>
    <row r="889" ht="14.25" customHeight="1">
      <c r="G889" s="133"/>
      <c r="H889" s="133"/>
      <c r="I889" s="133"/>
      <c r="K889" s="133"/>
    </row>
    <row r="890" ht="14.25" customHeight="1">
      <c r="G890" s="133"/>
      <c r="H890" s="133"/>
      <c r="I890" s="133"/>
      <c r="K890" s="133"/>
    </row>
    <row r="891" ht="14.25" customHeight="1">
      <c r="G891" s="133"/>
      <c r="H891" s="133"/>
      <c r="I891" s="133"/>
      <c r="K891" s="133"/>
    </row>
    <row r="892" ht="14.25" customHeight="1">
      <c r="G892" s="133"/>
      <c r="H892" s="133"/>
      <c r="I892" s="133"/>
      <c r="K892" s="133"/>
    </row>
    <row r="893" ht="14.25" customHeight="1">
      <c r="G893" s="133"/>
      <c r="H893" s="133"/>
      <c r="I893" s="133"/>
      <c r="K893" s="133"/>
    </row>
    <row r="894" ht="14.25" customHeight="1">
      <c r="G894" s="133"/>
      <c r="H894" s="133"/>
      <c r="I894" s="133"/>
      <c r="K894" s="133"/>
    </row>
    <row r="895" ht="14.25" customHeight="1">
      <c r="G895" s="133"/>
      <c r="H895" s="133"/>
      <c r="I895" s="133"/>
      <c r="K895" s="133"/>
    </row>
    <row r="896" ht="14.25" customHeight="1">
      <c r="G896" s="133"/>
      <c r="H896" s="133"/>
      <c r="I896" s="133"/>
      <c r="K896" s="133"/>
    </row>
    <row r="897" ht="14.25" customHeight="1">
      <c r="G897" s="133"/>
      <c r="H897" s="133"/>
      <c r="I897" s="133"/>
      <c r="K897" s="133"/>
    </row>
    <row r="898" ht="14.25" customHeight="1">
      <c r="G898" s="133"/>
      <c r="H898" s="133"/>
      <c r="I898" s="133"/>
      <c r="K898" s="133"/>
    </row>
    <row r="899" ht="14.25" customHeight="1">
      <c r="G899" s="133"/>
      <c r="H899" s="133"/>
      <c r="I899" s="133"/>
      <c r="K899" s="133"/>
    </row>
    <row r="900" ht="14.25" customHeight="1">
      <c r="G900" s="133"/>
      <c r="H900" s="133"/>
      <c r="I900" s="133"/>
      <c r="K900" s="133"/>
    </row>
    <row r="901" ht="14.25" customHeight="1">
      <c r="G901" s="133"/>
      <c r="H901" s="133"/>
      <c r="I901" s="133"/>
      <c r="K901" s="133"/>
    </row>
    <row r="902" ht="14.25" customHeight="1">
      <c r="G902" s="133"/>
      <c r="H902" s="133"/>
      <c r="I902" s="133"/>
      <c r="K902" s="133"/>
    </row>
    <row r="903" ht="14.25" customHeight="1">
      <c r="G903" s="133"/>
      <c r="H903" s="133"/>
      <c r="I903" s="133"/>
      <c r="K903" s="133"/>
    </row>
    <row r="904" ht="14.25" customHeight="1">
      <c r="G904" s="133"/>
      <c r="H904" s="133"/>
      <c r="I904" s="133"/>
      <c r="K904" s="133"/>
    </row>
    <row r="905" ht="14.25" customHeight="1">
      <c r="G905" s="133"/>
      <c r="H905" s="133"/>
      <c r="I905" s="133"/>
      <c r="K905" s="133"/>
    </row>
    <row r="906" ht="14.25" customHeight="1">
      <c r="G906" s="133"/>
      <c r="H906" s="133"/>
      <c r="I906" s="133"/>
      <c r="K906" s="133"/>
    </row>
    <row r="907" ht="14.25" customHeight="1">
      <c r="G907" s="133"/>
      <c r="H907" s="133"/>
      <c r="I907" s="133"/>
      <c r="K907" s="133"/>
    </row>
    <row r="908" ht="14.25" customHeight="1">
      <c r="G908" s="133"/>
      <c r="H908" s="133"/>
      <c r="I908" s="133"/>
      <c r="K908" s="133"/>
    </row>
    <row r="909" ht="14.25" customHeight="1">
      <c r="G909" s="133"/>
      <c r="H909" s="133"/>
      <c r="I909" s="133"/>
      <c r="K909" s="133"/>
    </row>
    <row r="910" ht="14.25" customHeight="1">
      <c r="G910" s="133"/>
      <c r="H910" s="133"/>
      <c r="I910" s="133"/>
      <c r="K910" s="133"/>
    </row>
    <row r="911" ht="14.25" customHeight="1">
      <c r="G911" s="133"/>
      <c r="H911" s="133"/>
      <c r="I911" s="133"/>
      <c r="K911" s="133"/>
    </row>
    <row r="912" ht="14.25" customHeight="1">
      <c r="G912" s="133"/>
      <c r="H912" s="133"/>
      <c r="I912" s="133"/>
      <c r="K912" s="133"/>
    </row>
    <row r="913" ht="14.25" customHeight="1">
      <c r="G913" s="133"/>
      <c r="H913" s="133"/>
      <c r="I913" s="133"/>
      <c r="K913" s="133"/>
    </row>
    <row r="914" ht="14.25" customHeight="1">
      <c r="G914" s="133"/>
      <c r="H914" s="133"/>
      <c r="I914" s="133"/>
      <c r="K914" s="133"/>
    </row>
    <row r="915" ht="14.25" customHeight="1">
      <c r="G915" s="133"/>
      <c r="H915" s="133"/>
      <c r="I915" s="133"/>
      <c r="K915" s="133"/>
    </row>
    <row r="916" ht="14.25" customHeight="1">
      <c r="G916" s="133"/>
      <c r="H916" s="133"/>
      <c r="I916" s="133"/>
      <c r="K916" s="133"/>
    </row>
    <row r="917" ht="14.25" customHeight="1">
      <c r="G917" s="133"/>
      <c r="H917" s="133"/>
      <c r="I917" s="133"/>
      <c r="K917" s="133"/>
    </row>
    <row r="918" ht="14.25" customHeight="1">
      <c r="G918" s="133"/>
      <c r="H918" s="133"/>
      <c r="I918" s="133"/>
      <c r="K918" s="133"/>
    </row>
    <row r="919" ht="14.25" customHeight="1">
      <c r="G919" s="133"/>
      <c r="H919" s="133"/>
      <c r="I919" s="133"/>
      <c r="K919" s="133"/>
    </row>
    <row r="920" ht="14.25" customHeight="1">
      <c r="G920" s="133"/>
      <c r="H920" s="133"/>
      <c r="I920" s="133"/>
      <c r="K920" s="133"/>
    </row>
    <row r="921" ht="14.25" customHeight="1">
      <c r="G921" s="133"/>
      <c r="H921" s="133"/>
      <c r="I921" s="133"/>
      <c r="K921" s="133"/>
    </row>
    <row r="922" ht="14.25" customHeight="1">
      <c r="G922" s="133"/>
      <c r="H922" s="133"/>
      <c r="I922" s="133"/>
      <c r="K922" s="133"/>
    </row>
    <row r="923" ht="14.25" customHeight="1">
      <c r="G923" s="133"/>
      <c r="H923" s="133"/>
      <c r="I923" s="133"/>
      <c r="K923" s="133"/>
    </row>
    <row r="924" ht="14.25" customHeight="1">
      <c r="G924" s="133"/>
      <c r="H924" s="133"/>
      <c r="I924" s="133"/>
      <c r="K924" s="133"/>
    </row>
    <row r="925" ht="14.25" customHeight="1">
      <c r="G925" s="133"/>
      <c r="H925" s="133"/>
      <c r="I925" s="133"/>
      <c r="K925" s="133"/>
    </row>
    <row r="926" ht="14.25" customHeight="1">
      <c r="G926" s="133"/>
      <c r="H926" s="133"/>
      <c r="I926" s="133"/>
      <c r="K926" s="133"/>
    </row>
    <row r="927" ht="14.25" customHeight="1">
      <c r="G927" s="133"/>
      <c r="H927" s="133"/>
      <c r="I927" s="133"/>
      <c r="K927" s="133"/>
    </row>
    <row r="928" ht="14.25" customHeight="1">
      <c r="G928" s="133"/>
      <c r="H928" s="133"/>
      <c r="I928" s="133"/>
      <c r="K928" s="133"/>
    </row>
    <row r="929" ht="14.25" customHeight="1">
      <c r="G929" s="133"/>
      <c r="H929" s="133"/>
      <c r="I929" s="133"/>
      <c r="K929" s="133"/>
    </row>
    <row r="930" ht="14.25" customHeight="1">
      <c r="G930" s="133"/>
      <c r="H930" s="133"/>
      <c r="I930" s="133"/>
      <c r="K930" s="133"/>
    </row>
    <row r="931" ht="14.25" customHeight="1">
      <c r="G931" s="133"/>
      <c r="H931" s="133"/>
      <c r="I931" s="133"/>
      <c r="K931" s="133"/>
    </row>
    <row r="932" ht="14.25" customHeight="1">
      <c r="G932" s="133"/>
      <c r="H932" s="133"/>
      <c r="I932" s="133"/>
      <c r="K932" s="133"/>
    </row>
    <row r="933" ht="14.25" customHeight="1">
      <c r="G933" s="133"/>
      <c r="H933" s="133"/>
      <c r="I933" s="133"/>
      <c r="K933" s="133"/>
    </row>
    <row r="934" ht="14.25" customHeight="1">
      <c r="G934" s="133"/>
      <c r="H934" s="133"/>
      <c r="I934" s="133"/>
      <c r="K934" s="133"/>
    </row>
    <row r="935" ht="14.25" customHeight="1">
      <c r="G935" s="133"/>
      <c r="H935" s="133"/>
      <c r="I935" s="133"/>
      <c r="K935" s="133"/>
    </row>
    <row r="936" ht="14.25" customHeight="1">
      <c r="G936" s="133"/>
      <c r="H936" s="133"/>
      <c r="I936" s="133"/>
      <c r="K936" s="133"/>
    </row>
    <row r="937" ht="14.25" customHeight="1">
      <c r="G937" s="133"/>
      <c r="H937" s="133"/>
      <c r="I937" s="133"/>
      <c r="K937" s="133"/>
    </row>
    <row r="938" ht="14.25" customHeight="1">
      <c r="G938" s="133"/>
      <c r="H938" s="133"/>
      <c r="I938" s="133"/>
      <c r="K938" s="133"/>
    </row>
    <row r="939" ht="14.25" customHeight="1">
      <c r="G939" s="133"/>
      <c r="H939" s="133"/>
      <c r="I939" s="133"/>
      <c r="K939" s="133"/>
    </row>
    <row r="940" ht="14.25" customHeight="1">
      <c r="G940" s="133"/>
      <c r="H940" s="133"/>
      <c r="I940" s="133"/>
      <c r="K940" s="133"/>
    </row>
    <row r="941" ht="14.25" customHeight="1">
      <c r="G941" s="133"/>
      <c r="H941" s="133"/>
      <c r="I941" s="133"/>
      <c r="K941" s="133"/>
    </row>
    <row r="942" ht="14.25" customHeight="1">
      <c r="G942" s="133"/>
      <c r="H942" s="133"/>
      <c r="I942" s="133"/>
      <c r="K942" s="133"/>
    </row>
    <row r="943" ht="14.25" customHeight="1">
      <c r="G943" s="133"/>
      <c r="H943" s="133"/>
      <c r="I943" s="133"/>
      <c r="K943" s="133"/>
    </row>
    <row r="944" ht="14.25" customHeight="1">
      <c r="G944" s="133"/>
      <c r="H944" s="133"/>
      <c r="I944" s="133"/>
      <c r="K944" s="133"/>
    </row>
    <row r="945" ht="14.25" customHeight="1">
      <c r="G945" s="133"/>
      <c r="H945" s="133"/>
      <c r="I945" s="133"/>
      <c r="K945" s="133"/>
    </row>
    <row r="946" ht="14.25" customHeight="1">
      <c r="G946" s="133"/>
      <c r="H946" s="133"/>
      <c r="I946" s="133"/>
      <c r="K946" s="133"/>
    </row>
    <row r="947" ht="14.25" customHeight="1">
      <c r="G947" s="133"/>
      <c r="H947" s="133"/>
      <c r="I947" s="133"/>
      <c r="K947" s="133"/>
    </row>
    <row r="948" ht="14.25" customHeight="1">
      <c r="G948" s="133"/>
      <c r="H948" s="133"/>
      <c r="I948" s="133"/>
      <c r="K948" s="133"/>
    </row>
    <row r="949" ht="14.25" customHeight="1">
      <c r="G949" s="133"/>
      <c r="H949" s="133"/>
      <c r="I949" s="133"/>
      <c r="K949" s="133"/>
    </row>
    <row r="950" ht="14.25" customHeight="1">
      <c r="G950" s="133"/>
      <c r="H950" s="133"/>
      <c r="I950" s="133"/>
      <c r="K950" s="133"/>
    </row>
    <row r="951" ht="14.25" customHeight="1">
      <c r="G951" s="133"/>
      <c r="H951" s="133"/>
      <c r="I951" s="133"/>
      <c r="K951" s="133"/>
    </row>
    <row r="952" ht="14.25" customHeight="1">
      <c r="G952" s="133"/>
      <c r="H952" s="133"/>
      <c r="I952" s="133"/>
      <c r="K952" s="133"/>
    </row>
    <row r="953" ht="14.25" customHeight="1">
      <c r="G953" s="133"/>
      <c r="H953" s="133"/>
      <c r="I953" s="133"/>
      <c r="K953" s="133"/>
    </row>
    <row r="954" ht="14.25" customHeight="1">
      <c r="G954" s="133"/>
      <c r="H954" s="133"/>
      <c r="I954" s="133"/>
      <c r="K954" s="133"/>
    </row>
    <row r="955" ht="14.25" customHeight="1">
      <c r="G955" s="133"/>
      <c r="H955" s="133"/>
      <c r="I955" s="133"/>
      <c r="K955" s="133"/>
    </row>
    <row r="956" ht="14.25" customHeight="1">
      <c r="G956" s="133"/>
      <c r="H956" s="133"/>
      <c r="I956" s="133"/>
      <c r="K956" s="133"/>
    </row>
    <row r="957" ht="14.25" customHeight="1">
      <c r="G957" s="133"/>
      <c r="H957" s="133"/>
      <c r="I957" s="133"/>
      <c r="K957" s="133"/>
    </row>
    <row r="958" ht="14.25" customHeight="1">
      <c r="G958" s="133"/>
      <c r="H958" s="133"/>
      <c r="I958" s="133"/>
      <c r="K958" s="133"/>
    </row>
    <row r="959" ht="14.25" customHeight="1">
      <c r="G959" s="133"/>
      <c r="H959" s="133"/>
      <c r="I959" s="133"/>
      <c r="K959" s="133"/>
    </row>
    <row r="960" ht="14.25" customHeight="1">
      <c r="G960" s="133"/>
      <c r="H960" s="133"/>
      <c r="I960" s="133"/>
      <c r="K960" s="133"/>
    </row>
    <row r="961" ht="14.25" customHeight="1">
      <c r="G961" s="133"/>
      <c r="H961" s="133"/>
      <c r="I961" s="133"/>
      <c r="K961" s="133"/>
    </row>
    <row r="962" ht="14.25" customHeight="1">
      <c r="G962" s="133"/>
      <c r="H962" s="133"/>
      <c r="I962" s="133"/>
      <c r="K962" s="133"/>
    </row>
    <row r="963" ht="14.25" customHeight="1">
      <c r="G963" s="133"/>
      <c r="H963" s="133"/>
      <c r="I963" s="133"/>
      <c r="K963" s="133"/>
    </row>
    <row r="964" ht="14.25" customHeight="1">
      <c r="G964" s="133"/>
      <c r="H964" s="133"/>
      <c r="I964" s="133"/>
      <c r="K964" s="133"/>
    </row>
    <row r="965" ht="14.25" customHeight="1">
      <c r="G965" s="133"/>
      <c r="H965" s="133"/>
      <c r="I965" s="133"/>
      <c r="K965" s="133"/>
    </row>
    <row r="966" ht="14.25" customHeight="1">
      <c r="G966" s="133"/>
      <c r="H966" s="133"/>
      <c r="I966" s="133"/>
      <c r="K966" s="133"/>
    </row>
    <row r="967" ht="14.25" customHeight="1">
      <c r="G967" s="133"/>
      <c r="H967" s="133"/>
      <c r="I967" s="133"/>
      <c r="K967" s="133"/>
    </row>
    <row r="968" ht="14.25" customHeight="1">
      <c r="G968" s="133"/>
      <c r="H968" s="133"/>
      <c r="I968" s="133"/>
      <c r="K968" s="133"/>
    </row>
    <row r="969" ht="14.25" customHeight="1">
      <c r="G969" s="133"/>
      <c r="H969" s="133"/>
      <c r="I969" s="133"/>
      <c r="K969" s="133"/>
    </row>
    <row r="970" ht="14.25" customHeight="1">
      <c r="G970" s="133"/>
      <c r="H970" s="133"/>
      <c r="I970" s="133"/>
      <c r="K970" s="133"/>
    </row>
    <row r="971" ht="14.25" customHeight="1">
      <c r="G971" s="133"/>
      <c r="H971" s="133"/>
      <c r="I971" s="133"/>
      <c r="K971" s="133"/>
    </row>
    <row r="972" ht="14.25" customHeight="1">
      <c r="G972" s="133"/>
      <c r="H972" s="133"/>
      <c r="I972" s="133"/>
      <c r="K972" s="133"/>
    </row>
    <row r="973" ht="14.25" customHeight="1">
      <c r="G973" s="133"/>
      <c r="H973" s="133"/>
      <c r="I973" s="133"/>
      <c r="K973" s="133"/>
    </row>
    <row r="974" ht="14.25" customHeight="1">
      <c r="G974" s="133"/>
      <c r="H974" s="133"/>
      <c r="I974" s="133"/>
      <c r="K974" s="133"/>
    </row>
    <row r="975" ht="14.25" customHeight="1">
      <c r="G975" s="133"/>
      <c r="H975" s="133"/>
      <c r="I975" s="133"/>
      <c r="K975" s="133"/>
    </row>
    <row r="976" ht="14.25" customHeight="1">
      <c r="G976" s="133"/>
      <c r="H976" s="133"/>
      <c r="I976" s="133"/>
      <c r="K976" s="133"/>
    </row>
    <row r="977" ht="14.25" customHeight="1">
      <c r="G977" s="133"/>
      <c r="H977" s="133"/>
      <c r="I977" s="133"/>
      <c r="K977" s="133"/>
    </row>
    <row r="978" ht="14.25" customHeight="1">
      <c r="G978" s="133"/>
      <c r="H978" s="133"/>
      <c r="I978" s="133"/>
      <c r="K978" s="133"/>
    </row>
    <row r="979" ht="14.25" customHeight="1">
      <c r="G979" s="133"/>
      <c r="H979" s="133"/>
      <c r="I979" s="133"/>
      <c r="K979" s="133"/>
    </row>
    <row r="980" ht="14.25" customHeight="1">
      <c r="G980" s="133"/>
      <c r="H980" s="133"/>
      <c r="I980" s="133"/>
      <c r="K980" s="133"/>
    </row>
    <row r="981" ht="14.25" customHeight="1">
      <c r="G981" s="133"/>
      <c r="H981" s="133"/>
      <c r="I981" s="133"/>
      <c r="K981" s="133"/>
    </row>
    <row r="982" ht="14.25" customHeight="1">
      <c r="G982" s="133"/>
      <c r="H982" s="133"/>
      <c r="I982" s="133"/>
      <c r="K982" s="133"/>
    </row>
    <row r="983" ht="14.25" customHeight="1">
      <c r="G983" s="133"/>
      <c r="H983" s="133"/>
      <c r="I983" s="133"/>
      <c r="K983" s="133"/>
    </row>
    <row r="984" ht="14.25" customHeight="1">
      <c r="G984" s="133"/>
      <c r="H984" s="133"/>
      <c r="I984" s="133"/>
      <c r="K984" s="133"/>
    </row>
    <row r="985" ht="14.25" customHeight="1">
      <c r="G985" s="133"/>
      <c r="H985" s="133"/>
      <c r="I985" s="133"/>
      <c r="K985" s="133"/>
    </row>
    <row r="986" ht="14.25" customHeight="1">
      <c r="G986" s="133"/>
      <c r="H986" s="133"/>
      <c r="I986" s="133"/>
      <c r="K986" s="133"/>
    </row>
    <row r="987" ht="14.25" customHeight="1">
      <c r="G987" s="133"/>
      <c r="H987" s="133"/>
      <c r="I987" s="133"/>
      <c r="K987" s="133"/>
    </row>
    <row r="988" ht="14.25" customHeight="1">
      <c r="G988" s="133"/>
      <c r="H988" s="133"/>
      <c r="I988" s="133"/>
      <c r="K988" s="133"/>
    </row>
    <row r="989" ht="14.25" customHeight="1">
      <c r="G989" s="133"/>
      <c r="H989" s="133"/>
      <c r="I989" s="133"/>
      <c r="K989" s="133"/>
    </row>
    <row r="990" ht="14.25" customHeight="1">
      <c r="G990" s="133"/>
      <c r="H990" s="133"/>
      <c r="I990" s="133"/>
      <c r="K990" s="133"/>
    </row>
    <row r="991" ht="14.25" customHeight="1">
      <c r="G991" s="133"/>
      <c r="H991" s="133"/>
      <c r="I991" s="133"/>
      <c r="K991" s="133"/>
    </row>
    <row r="992" ht="14.25" customHeight="1">
      <c r="G992" s="133"/>
      <c r="H992" s="133"/>
      <c r="I992" s="133"/>
      <c r="K992" s="133"/>
    </row>
    <row r="993" ht="14.25" customHeight="1">
      <c r="G993" s="133"/>
      <c r="H993" s="133"/>
      <c r="I993" s="133"/>
      <c r="K993" s="133"/>
    </row>
    <row r="994" ht="14.25" customHeight="1">
      <c r="G994" s="133"/>
      <c r="H994" s="133"/>
      <c r="I994" s="133"/>
      <c r="K994" s="133"/>
    </row>
    <row r="995" ht="14.25" customHeight="1">
      <c r="G995" s="133"/>
      <c r="H995" s="133"/>
      <c r="I995" s="133"/>
      <c r="K995" s="133"/>
    </row>
    <row r="996" ht="14.25" customHeight="1">
      <c r="G996" s="133"/>
      <c r="H996" s="133"/>
      <c r="I996" s="133"/>
      <c r="K996" s="133"/>
    </row>
    <row r="997" ht="14.25" customHeight="1">
      <c r="G997" s="133"/>
      <c r="H997" s="133"/>
      <c r="I997" s="133"/>
      <c r="K997" s="133"/>
    </row>
    <row r="998" ht="14.25" customHeight="1">
      <c r="G998" s="133"/>
      <c r="H998" s="133"/>
      <c r="I998" s="133"/>
      <c r="K998" s="133"/>
    </row>
    <row r="999" ht="14.25" customHeight="1">
      <c r="G999" s="133"/>
      <c r="H999" s="133"/>
      <c r="I999" s="133"/>
      <c r="K999" s="133"/>
    </row>
    <row r="1000" ht="14.25" customHeight="1">
      <c r="G1000" s="133"/>
      <c r="H1000" s="133"/>
      <c r="I1000" s="133"/>
      <c r="K1000" s="133"/>
    </row>
  </sheetData>
  <mergeCells count="2">
    <mergeCell ref="B1:C1"/>
    <mergeCell ref="G1:K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Pablo</dc:creator>
</cp:coreProperties>
</file>